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537154cfa7039b5/Pulpit/Projekty/Nowy folder/"/>
    </mc:Choice>
  </mc:AlternateContent>
  <xr:revisionPtr revIDLastSave="20" documentId="11_F25DC773A252ABDACC104835C91E41EE5ADE58E7" xr6:coauthVersionLast="47" xr6:coauthVersionMax="47" xr10:uidLastSave="{9119819F-9AE8-4484-A963-D5533CE3FED7}"/>
  <bookViews>
    <workbookView xWindow="-120" yWindow="-120" windowWidth="38640" windowHeight="21120" tabRatio="944" firstSheet="12" activeTab="12" xr2:uid="{00000000-000D-0000-FFFF-FFFF00000000}"/>
  </bookViews>
  <sheets>
    <sheet name="Revenue share by customer type" sheetId="22" state="hidden" r:id="rId1"/>
    <sheet name="Revenue concentration" sheetId="21" state="hidden" r:id="rId2"/>
    <sheet name="Repeat customers rate" sheetId="20" state="hidden" r:id="rId3"/>
    <sheet name="Date range" sheetId="18" state="hidden" r:id="rId4"/>
    <sheet name="Customer purchase frequency dis" sheetId="17" state="hidden" r:id="rId5"/>
    <sheet name="Average revenue per customer ty" sheetId="16" state="hidden" r:id="rId6"/>
    <sheet name="KPI 2 Average Order Value (AOV)" sheetId="15" state="hidden" r:id="rId7"/>
    <sheet name="KPI 1 Monthly revenue" sheetId="13" state="hidden" r:id="rId8"/>
    <sheet name="Total number of unique customer" sheetId="12" state="hidden" r:id="rId9"/>
    <sheet name="Total number of unique orders" sheetId="11" state="hidden" r:id="rId10"/>
    <sheet name="Total revenue" sheetId="10" state="hidden" r:id="rId11"/>
    <sheet name="Top 10 product categories by re" sheetId="24" state="hidden" r:id="rId12"/>
    <sheet name="Dashboard" sheetId="1" r:id="rId13"/>
  </sheets>
  <definedNames>
    <definedName name="ExternalData_1" localSheetId="11" hidden="1">'Top 10 product categories by re'!$A$1:$B$11</definedName>
    <definedName name="ExternalData_1" localSheetId="10" hidden="1">'Total revenue'!$A$1:$A$2</definedName>
    <definedName name="ExternalData_10" localSheetId="2" hidden="1">'Repeat customers rate'!$A$1:$C$3</definedName>
    <definedName name="ExternalData_11" localSheetId="1" hidden="1">'Revenue concentration'!$A$1:$C$3</definedName>
    <definedName name="ExternalData_12" localSheetId="0" hidden="1">'Revenue share by customer type'!$A$1:$C$3</definedName>
    <definedName name="ExternalData_2" localSheetId="9" hidden="1">'Total number of unique orders'!$A$1:$A$2</definedName>
    <definedName name="ExternalData_3" localSheetId="8" hidden="1">'Total number of unique customer'!$A$1:$A$2</definedName>
    <definedName name="ExternalData_4" localSheetId="7" hidden="1">'KPI 1 Monthly revenue'!$A$1:$B$26</definedName>
    <definedName name="ExternalData_6" localSheetId="6" hidden="1">'KPI 2 Average Order Value (AOV)'!$A$1:$A$2</definedName>
    <definedName name="ExternalData_7" localSheetId="5" hidden="1">'Average revenue per customer ty'!$A$1:$B$3</definedName>
    <definedName name="ExternalData_8" localSheetId="4" hidden="1">'Customer purchase frequency dis'!$A$1:$C$4</definedName>
    <definedName name="ExternalData_9" localSheetId="3" hidden="1">'Date range'!$A$1:$B$2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8B410-6120-4D00-A898-47FBE9BC68E7}" keepAlive="1" name="Query - Average revenue per customer type" description="Connection to the 'Average revenue per customer type' query in the workbook." type="5" refreshedVersion="8" background="1" saveData="1">
    <dbPr connection="Provider=Microsoft.Mashup.OleDb.1;Data Source=$Workbook$;Location=&quot;Average revenue per customer type&quot;;Extended Properties=&quot;&quot;" command="SELECT * FROM [Average revenue per customer type]"/>
  </connection>
  <connection id="2" xr16:uid="{99C58C97-8974-4834-B619-089EE3FDAACA}" keepAlive="1" name="Query - average_order_value" description="Connection to the 'average_order_value' query in the workbook." type="5" refreshedVersion="8" background="1" saveData="1">
    <dbPr connection="Provider=Microsoft.Mashup.OleDb.1;Data Source=$Workbook$;Location=average_order_value;Extended Properties=&quot;&quot;" command="SELECT * FROM [average_order_value]"/>
  </connection>
  <connection id="3" xr16:uid="{0F3017DE-A1A1-4494-B9C0-59EE922F49B1}" keepAlive="1" name="Query - Customer purchase frequency distribution (%)" description="Connection to the 'Customer purchase frequency distribution (%)' query in the workbook." type="5" refreshedVersion="8" background="1" saveData="1">
    <dbPr connection="Provider=Microsoft.Mashup.OleDb.1;Data Source=$Workbook$;Location=&quot;Customer purchase frequency distribution (%)&quot;;Extended Properties=&quot;&quot;" command="SELECT * FROM [Customer purchase frequency distribution (%)]"/>
  </connection>
  <connection id="4" xr16:uid="{EAAA5993-8947-47EC-9C6E-35C85DD217FE}" keepAlive="1" name="Query - customer_segmentation_procentage" description="Connection to the 'customer_segmentation_procentage' query in the workbook." type="5" refreshedVersion="8" background="1" saveData="1">
    <dbPr connection="Provider=Microsoft.Mashup.OleDb.1;Data Source=$Workbook$;Location=customer_segmentation_procentage;Extended Properties=&quot;&quot;" command="SELECT * FROM [customer_segmentation_procentage]"/>
  </connection>
  <connection id="5" xr16:uid="{01AA8D4C-7859-469F-9715-2128709BC2E4}" keepAlive="1" name="Query - customer_segmentation_procentage (2)" description="Connection to the 'customer_segmentation_procentage (2)' query in the workbook." type="5" refreshedVersion="8" background="1" saveData="1">
    <dbPr connection="Provider=Microsoft.Mashup.OleDb.1;Data Source=$Workbook$;Location=&quot;customer_segmentation_procentage (2)&quot;;Extended Properties=&quot;&quot;" command="SELECT * FROM [customer_segmentation_procentage (2)]"/>
  </connection>
  <connection id="6" xr16:uid="{9BE1D7F0-B46A-4E37-9EED-91C5C9A1873A}" keepAlive="1" name="Query - customer_segmentation_procentage (3)" description="Connection to the 'customer_segmentation_procentage (3)' query in the workbook." type="5" refreshedVersion="8" background="1" saveData="1">
    <dbPr connection="Provider=Microsoft.Mashup.OleDb.1;Data Source=$Workbook$;Location=&quot;customer_segmentation_procentage (3)&quot;;Extended Properties=&quot;&quot;" command="SELECT * FROM [customer_segmentation_procentage (3)]"/>
  </connection>
  <connection id="7" xr16:uid="{16ECF5FB-FAB4-4028-A1DE-1DEDD9A7E54C}" keepAlive="1" name="Query - Date range" description="Connection to the 'Date range' query in the workbook." type="5" refreshedVersion="8" background="1" saveData="1">
    <dbPr connection="Provider=Microsoft.Mashup.OleDb.1;Data Source=$Workbook$;Location=&quot;Date range&quot;;Extended Properties=&quot;&quot;" command="SELECT * FROM [Date range]"/>
  </connection>
  <connection id="8" xr16:uid="{805556A0-4297-4EAE-B6C1-1F8F16B82116}" keepAlive="1" name="Query - KPI 1 Monthly revenue" description="Connection to the 'KPI 1 Monthly revenue' query in the workbook." type="5" refreshedVersion="8" background="1" saveData="1">
    <dbPr connection="Provider=Microsoft.Mashup.OleDb.1;Data Source=$Workbook$;Location=&quot;KPI 1 Monthly revenue&quot;;Extended Properties=&quot;&quot;" command="SELECT * FROM [KPI 1 Monthly revenue]"/>
  </connection>
  <connection id="9" xr16:uid="{85299976-02E6-4E6A-9128-CB9A10EB1D8E}" keepAlive="1" name="Query - KPI 2  Orders per month" description="Connection to the 'KPI 2  Orders per month' query in the workbook." type="5" refreshedVersion="0" background="1" saveData="1">
    <dbPr connection="Provider=Microsoft.Mashup.OleDb.1;Data Source=$Workbook$;Location=&quot;KPI 2  Orders per month&quot;;Extended Properties=&quot;&quot;" command="SELECT * FROM [KPI 2  Orders per month]"/>
  </connection>
  <connection id="10" xr16:uid="{FAFE25C0-5B75-47D3-A7FB-66579EDB435D}" keepAlive="1" name="Query - KPI 3 Average Order Value (AOV)" description="Connection to the 'KPI 3 Average Order Value (AOV)' query in the workbook." type="5" refreshedVersion="8" background="1" saveData="1">
    <dbPr connection="Provider=Microsoft.Mashup.OleDb.1;Data Source=$Workbook$;Location=&quot;KPI 3 Average Order Value (AOV)&quot;;Extended Properties=&quot;&quot;" command="SELECT * FROM [KPI 3 Average Order Value (AOV)]"/>
  </connection>
  <connection id="11" xr16:uid="{431A1601-3B55-4FD0-948D-156A7158A440}" keepAlive="1" name="Query - kpi monthly revenue" description="Connection to the 'kpi monthly revenue' query in the workbook." type="5" refreshedVersion="8" background="1" saveData="1">
    <dbPr connection="Provider=Microsoft.Mashup.OleDb.1;Data Source=$Workbook$;Location=&quot;kpi monthly revenue&quot;;Extended Properties=&quot;&quot;" command="SELECT * FROM [kpi monthly revenue]"/>
  </connection>
  <connection id="12" xr16:uid="{FB832D36-CDF5-4BF9-B417-217240D7E873}" keepAlive="1" name="Query - kpi orders per month" description="Connection to the 'kpi orders per month' query in the workbook." type="5" refreshedVersion="8" background="1" saveData="1">
    <dbPr connection="Provider=Microsoft.Mashup.OleDb.1;Data Source=$Workbook$;Location=&quot;kpi orders per month&quot;;Extended Properties=&quot;&quot;" command="SELECT * FROM [kpi orders per month]"/>
  </connection>
  <connection id="13" xr16:uid="{A8EBFDD7-BA5C-4480-A037-D9BA385A512C}" keepAlive="1" name="Query - Orders by status" description="Connection to the 'Orders by status' query in the workbook." type="5" refreshedVersion="0" background="1">
    <dbPr connection="Provider=Microsoft.Mashup.OleDb.1;Data Source=$Workbook$;Location=&quot;Orders by status&quot;;Extended Properties=&quot;&quot;" command="SELECT * FROM [Orders by status]"/>
  </connection>
  <connection id="14" xr16:uid="{FAAD248E-4660-4FE0-B734-09FFE3CF9698}" keepAlive="1" name="Query - product_category_translate" description="Connection to the 'product_category_translate' query in the workbook." type="5" refreshedVersion="8" background="1" saveData="1">
    <dbPr connection="Provider=Microsoft.Mashup.OleDb.1;Data Source=$Workbook$;Location=product_category_translate;Extended Properties=&quot;&quot;" command="SELECT * FROM [product_category_translate]"/>
  </connection>
  <connection id="15" xr16:uid="{407CEE3E-AA99-497E-B0C9-FD982F24FBFE}" keepAlive="1" name="Query - Repeat customers rate (share of customers who made 2+ orders)" description="Connection to the 'Repeat customers rate (share of customers who made 2+ orders)' query in the workbook." type="5" refreshedVersion="8" background="1" saveData="1">
    <dbPr connection="Provider=Microsoft.Mashup.OleDb.1;Data Source=$Workbook$;Location=&quot;Repeat customers rate (share of customers who made 2+ orders)&quot;;Extended Properties=&quot;&quot;" command="SELECT * FROM [Repeat customers rate (share of customers who made 2+ orders)]"/>
  </connection>
  <connection id="16" xr16:uid="{541D9DEE-8567-4696-91EE-7EC789B6BBE1}" keepAlive="1" name="Query - revenue by customer type" description="Connection to the 'revenue by customer type' query in the workbook." type="5" refreshedVersion="8" background="1" saveData="1">
    <dbPr connection="Provider=Microsoft.Mashup.OleDb.1;Data Source=$Workbook$;Location=&quot;revenue by customer type&quot;;Extended Properties=&quot;&quot;" command="SELECT * FROM [revenue by customer type]"/>
  </connection>
  <connection id="17" xr16:uid="{F9BC4DD6-8D05-4474-8C43-09B28E7CB000}" keepAlive="1" name="Query - Revenue concentration" description="Connection to the 'Revenue concentration' query in the workbook." type="5" refreshedVersion="8" background="1" saveData="1">
    <dbPr connection="Provider=Microsoft.Mashup.OleDb.1;Data Source=$Workbook$;Location=&quot;Revenue concentration&quot;;Extended Properties=&quot;&quot;" command="SELECT * FROM [Revenue concentration]"/>
  </connection>
  <connection id="18" xr16:uid="{D8C337A2-27B0-4B14-A059-91CB1CF65E88}" keepAlive="1" name="Query - Revenue Concentration (Top 10% vs Bottom 90%)" description="Connection to the 'Revenue Concentration (Top 10% vs Bottom 90%)' query in the workbook." type="5" refreshedVersion="8" background="1" saveData="1">
    <dbPr connection="Provider=Microsoft.Mashup.OleDb.1;Data Source=$Workbook$;Location=&quot;Revenue Concentration (Top 10% vs Bottom 90%)&quot;;Extended Properties=&quot;&quot;" command="SELECT * FROM [Revenue Concentration (Top 10% vs Bottom 90%)]"/>
  </connection>
  <connection id="19" xr16:uid="{E61ABD9E-9489-4EEC-B164-55687E748607}" keepAlive="1" name="Query - Revenue share by customer type" description="Connection to the 'Revenue share by customer type' query in the workbook." type="5" refreshedVersion="8" background="1" saveData="1">
    <dbPr connection="Provider=Microsoft.Mashup.OleDb.1;Data Source=$Workbook$;Location=&quot;Revenue share by customer type&quot;;Extended Properties=&quot;&quot;" command="SELECT * FROM [Revenue share by customer type]"/>
  </connection>
  <connection id="20" xr16:uid="{7C59A680-741B-4A71-8F51-4033202FE382}" keepAlive="1" name="Query - revenue_share_cus_type" description="Connection to the 'revenue_share_cus_type' query in the workbook." type="5" refreshedVersion="8" background="1" saveData="1">
    <dbPr connection="Provider=Microsoft.Mashup.OleDb.1;Data Source=$Workbook$;Location=revenue_share_cus_type;Extended Properties=&quot;&quot;" command="SELECT * FROM [revenue_share_cus_type]"/>
  </connection>
  <connection id="21" xr16:uid="{D18C16D9-AB06-4194-B1F7-6751BE56BF12}" keepAlive="1" name="Query - Top 10 product categories by revenue (translated to EN)" description="Connection to the 'Top 10 product categories by revenue (translated to EN)' query in the workbook." type="5" refreshedVersion="0" background="1">
    <dbPr connection="Provider=Microsoft.Mashup.OleDb.1;Data Source=$Workbook$;Location=&quot;Top 10 product categories by revenue (translated to EN)&quot;;Extended Properties=&quot;&quot;" command="SELECT * FROM [Top 10 product categories by revenue (translated to EN)]"/>
  </connection>
  <connection id="22" xr16:uid="{4DD0B82F-ECDE-49E5-9791-656D1CBC538D}" keepAlive="1" name="Query - Top 10 product categories by revenue (translated to EN)2" description="Connection to the 'Top 10 product categories by revenue (translated to EN)2' query in the workbook." type="5" refreshedVersion="8" background="1" saveData="1">
    <dbPr connection="Provider=Microsoft.Mashup.OleDb.1;Data Source=$Workbook$;Location=&quot;Top 10 product categories by revenue (translated to EN)2&quot;;Extended Properties=&quot;&quot;" command="SELECT * FROM [Top 10 product categories by revenue (translated to EN)2]"/>
  </connection>
  <connection id="23" xr16:uid="{FB709EC2-85FB-469F-86D0-1E9EA5D0F182}" keepAlive="1" name="Query - Total number of unique customers" description="Connection to the 'Total number of unique customers' query in the workbook." type="5" refreshedVersion="8" background="1" saveData="1">
    <dbPr connection="Provider=Microsoft.Mashup.OleDb.1;Data Source=$Workbook$;Location=&quot;Total number of unique customers&quot;;Extended Properties=&quot;&quot;" command="SELECT * FROM [Total number of unique customers]"/>
  </connection>
  <connection id="24" xr16:uid="{96A3F7F2-CD62-4838-8F7A-8F4DC242380D}" keepAlive="1" name="Query - Total number of unique orders" description="Connection to the 'Total number of unique orders' query in the workbook." type="5" refreshedVersion="8" background="1" saveData="1">
    <dbPr connection="Provider=Microsoft.Mashup.OleDb.1;Data Source=$Workbook$;Location=&quot;Total number of unique orders&quot;;Extended Properties=&quot;&quot;" command="SELECT * FROM [Total number of unique orders]"/>
  </connection>
  <connection id="25" xr16:uid="{33FDA36A-41C3-45EA-9F96-B751594D68B1}" keepAlive="1" name="Query - Total revenue" description="Connection to the 'Total revenue' query in the workbook." type="5" refreshedVersion="8" background="1" saveData="1">
    <dbPr connection="Provider=Microsoft.Mashup.OleDb.1;Data Source=$Workbook$;Location=&quot;Total revenue&quot;;Extended Properties=&quot;&quot;" command="SELECT * FROM [Total revenue]"/>
  </connection>
</connections>
</file>

<file path=xl/sharedStrings.xml><?xml version="1.0" encoding="utf-8"?>
<sst xmlns="http://schemas.openxmlformats.org/spreadsheetml/2006/main" count="45" uniqueCount="33">
  <si>
    <t>order_month</t>
  </si>
  <si>
    <t>revenue</t>
  </si>
  <si>
    <t>total_orders</t>
  </si>
  <si>
    <t>customer_segment</t>
  </si>
  <si>
    <t>total_customers</t>
  </si>
  <si>
    <t>percentage</t>
  </si>
  <si>
    <t>1 order</t>
  </si>
  <si>
    <t>2-3 orders</t>
  </si>
  <si>
    <t>4+ orders</t>
  </si>
  <si>
    <t>total_revenue</t>
  </si>
  <si>
    <t>Health &amp; Beauty</t>
  </si>
  <si>
    <t>Watches &amp; Gifts</t>
  </si>
  <si>
    <t>Home &amp; Living</t>
  </si>
  <si>
    <t>Sports &amp; Leisure</t>
  </si>
  <si>
    <t>IT Accessories</t>
  </si>
  <si>
    <t>Furniture &amp; Decor</t>
  </si>
  <si>
    <t>Lifestyle Products</t>
  </si>
  <si>
    <t>Home Essentials</t>
  </si>
  <si>
    <t>Automotive</t>
  </si>
  <si>
    <t>Garden Tools</t>
  </si>
  <si>
    <t>customer_type</t>
  </si>
  <si>
    <t>avg_revenue_per_customer</t>
  </si>
  <si>
    <t>One-time</t>
  </si>
  <si>
    <t>Repeat</t>
  </si>
  <si>
    <t>avg_order_value</t>
  </si>
  <si>
    <t>revenue_percentage</t>
  </si>
  <si>
    <t>customer_group</t>
  </si>
  <si>
    <t>Top 10%</t>
  </si>
  <si>
    <t>Bottom 90%</t>
  </si>
  <si>
    <t>first_order_date</t>
  </si>
  <si>
    <t>last_order_date</t>
  </si>
  <si>
    <t>customer_percentage</t>
  </si>
  <si>
    <t>product_category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</si>
</sst>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_-[$R$-416]\ * #,##0_-;\-[$R$-416]\ * #,##0_-;_-[$R$-416]\ * &quot;-&quot;??_-;_-@_-"/>
  </numFmts>
  <fonts count="4" x14ac:knownFonts="1">
    <font>
      <sz val="11"/>
      <color theme="1"/>
      <name val="Calibri"/>
      <family val="2"/>
      <scheme val="minor"/>
    </font>
    <font>
      <sz val="22"/>
      <color theme="3" tint="-0.499984740745262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6" tint="-0.2499465926084170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applyBorder="1"/>
    <xf numFmtId="0" fontId="0" fillId="0" borderId="1" xfId="0" applyBorder="1"/>
    <xf numFmtId="164" fontId="0" fillId="0" borderId="0" xfId="0" applyNumberFormat="1"/>
    <xf numFmtId="0" fontId="0" fillId="0" borderId="0" xfId="0" applyAlignment="1"/>
    <xf numFmtId="0" fontId="1" fillId="0" borderId="0" xfId="0" applyFont="1" applyAlignment="1"/>
    <xf numFmtId="165" fontId="0" fillId="0" borderId="0" xfId="0" applyNumberForma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4">
    <dxf>
      <numFmt numFmtId="164" formatCode="_-[$R$-416]\ * #,##0.00_-;\-[$R$-416]\ * #,##0.00_-;_-[$R$-416]\ * &quot;-&quot;??_-;_-@_-"/>
    </dxf>
    <dxf>
      <numFmt numFmtId="0" formatCode="General"/>
    </dxf>
    <dxf>
      <numFmt numFmtId="165" formatCode="_-[$R$-416]\ * #,##0_-;\-[$R$-416]\ * #,##0_-;_-[$R$-416]\ * &quot;-&quot;??_-;_-@_-"/>
    </dxf>
    <dxf>
      <numFmt numFmtId="165" formatCode="_-[$R$-416]\ * #,##0_-;\-[$R$-416]\ * #,##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R$-416]\ * #,##0.00_-;\-[$R$-416]\ * #,##0.00_-;_-[$R$-416]\ * &quot;-&quot;??_-;_-@_-"/>
    </dxf>
    <dxf>
      <numFmt numFmtId="19" formatCode="dd/mm/yyyy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  <dxf>
      <numFmt numFmtId="19" formatCode="dd/mm/yyyy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Share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share by customer type'!$A$2:$A$3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'Revenue share by customer type'!$C$2:$C$3</c:f>
              <c:numCache>
                <c:formatCode>0.00%</c:formatCode>
                <c:ptCount val="2"/>
                <c:pt idx="0">
                  <c:v>0.94099999999999995</c:v>
                </c:pt>
                <c:pt idx="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3-43E2-9709-AD4F2EE02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938416"/>
        <c:axId val="602936016"/>
      </c:barChart>
      <c:catAx>
        <c:axId val="60293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936016"/>
        <c:crosses val="autoZero"/>
        <c:auto val="1"/>
        <c:lblAlgn val="ctr"/>
        <c:lblOffset val="100"/>
        <c:noMultiLvlLbl val="0"/>
      </c:catAx>
      <c:valAx>
        <c:axId val="602936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93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Concentration 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(Top 10% vs Bottom 90%)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concentration'!$A$2:$A$3</c:f>
              <c:strCache>
                <c:ptCount val="2"/>
                <c:pt idx="0">
                  <c:v>Bottom 90%</c:v>
                </c:pt>
                <c:pt idx="1">
                  <c:v>Top 10%</c:v>
                </c:pt>
              </c:strCache>
            </c:strRef>
          </c:cat>
          <c:val>
            <c:numRef>
              <c:f>'Revenue concentration'!$C$2:$C$3</c:f>
              <c:numCache>
                <c:formatCode>0.00%</c:formatCode>
                <c:ptCount val="2"/>
                <c:pt idx="0">
                  <c:v>0.6149</c:v>
                </c:pt>
                <c:pt idx="1">
                  <c:v>0.3851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6-4E63-94B2-E7AEB831AF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298384"/>
        <c:axId val="412297424"/>
      </c:barChart>
      <c:catAx>
        <c:axId val="41229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2297424"/>
        <c:crosses val="autoZero"/>
        <c:auto val="1"/>
        <c:lblAlgn val="ctr"/>
        <c:lblOffset val="100"/>
        <c:noMultiLvlLbl val="0"/>
      </c:catAx>
      <c:valAx>
        <c:axId val="412297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229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Order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purchase frequency dis'!$A$2:$A$4</c:f>
              <c:strCache>
                <c:ptCount val="3"/>
                <c:pt idx="0">
                  <c:v>1 order</c:v>
                </c:pt>
                <c:pt idx="1">
                  <c:v>2-3 orders</c:v>
                </c:pt>
                <c:pt idx="2">
                  <c:v>4+ orders</c:v>
                </c:pt>
              </c:strCache>
            </c:strRef>
          </c:cat>
          <c:val>
            <c:numRef>
              <c:f>'Customer purchase frequency dis'!$C$2:$C$4</c:f>
              <c:numCache>
                <c:formatCode>0.00%</c:formatCode>
                <c:ptCount val="3"/>
                <c:pt idx="0">
                  <c:v>0.96879999999999999</c:v>
                </c:pt>
                <c:pt idx="1">
                  <c:v>3.0699999999999998E-2</c:v>
                </c:pt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2-4814-8B03-0497A1493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3111904"/>
        <c:axId val="1543112864"/>
      </c:barChart>
      <c:catAx>
        <c:axId val="154311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112864"/>
        <c:crosses val="autoZero"/>
        <c:auto val="1"/>
        <c:lblAlgn val="ctr"/>
        <c:lblOffset val="100"/>
        <c:noMultiLvlLbl val="0"/>
      </c:catAx>
      <c:valAx>
        <c:axId val="154311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11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Revenue per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0B-43A7-8F58-8F3DD08DFF8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0B-43A7-8F58-8F3DD08DFF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revenue per customer ty'!$A$2:$A$3</c:f>
              <c:strCache>
                <c:ptCount val="2"/>
                <c:pt idx="0">
                  <c:v>Repeat</c:v>
                </c:pt>
                <c:pt idx="1">
                  <c:v>One-time</c:v>
                </c:pt>
              </c:strCache>
            </c:strRef>
          </c:cat>
          <c:val>
            <c:numRef>
              <c:f>'Average revenue per customer ty'!$B$2:$B$3</c:f>
              <c:numCache>
                <c:formatCode>_-[$R$-416]\ * #\ ##0.00_-;\-[$R$-416]\ * #\ ##0.00_-;_-[$R$-416]\ * "-"??_-;_-@_-</c:formatCode>
                <c:ptCount val="2"/>
                <c:pt idx="0">
                  <c:v>314.99</c:v>
                </c:pt>
                <c:pt idx="1">
                  <c:v>161.82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B-43A7-8F58-8F3DD08D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675728"/>
        <c:axId val="1882673328"/>
      </c:barChart>
      <c:catAx>
        <c:axId val="18826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2673328"/>
        <c:crosses val="autoZero"/>
        <c:auto val="1"/>
        <c:lblAlgn val="ctr"/>
        <c:lblOffset val="100"/>
        <c:noMultiLvlLbl val="0"/>
      </c:catAx>
      <c:valAx>
        <c:axId val="188267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26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'KPI 1 Monthly revenue'!$A$2:$A$26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'KPI 1 Monthly revenue'!$B$2:$B$26</c:f>
              <c:numCache>
                <c:formatCode>_-[$R$-416]\ * #\ ##0.00_-;\-[$R$-416]\ * #\ ##0.00_-;_-[$R$-416]\ * "-"??_-;_-@_-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6-4E4A-80BD-E492E04A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21520672"/>
        <c:axId val="1921521152"/>
      </c:lineChart>
      <c:dateAx>
        <c:axId val="1921520672"/>
        <c:scaling>
          <c:orientation val="minMax"/>
        </c:scaling>
        <c:delete val="0"/>
        <c:axPos val="b"/>
        <c:numFmt formatCode="[$-409]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1521152"/>
        <c:crosses val="autoZero"/>
        <c:auto val="1"/>
        <c:lblOffset val="100"/>
        <c:baseTimeUnit val="months"/>
      </c:dateAx>
      <c:valAx>
        <c:axId val="1921521152"/>
        <c:scaling>
          <c:orientation val="minMax"/>
        </c:scaling>
        <c:delete val="0"/>
        <c:axPos val="l"/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15206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product categories by re'!$A$2:$A$11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Home &amp; Living</c:v>
                </c:pt>
                <c:pt idx="3">
                  <c:v>Sports &amp; Leisure</c:v>
                </c:pt>
                <c:pt idx="4">
                  <c:v>IT Accessories</c:v>
                </c:pt>
                <c:pt idx="5">
                  <c:v>Furniture &amp; Decor</c:v>
                </c:pt>
                <c:pt idx="6">
                  <c:v>Lifestyle Products</c:v>
                </c:pt>
                <c:pt idx="7">
                  <c:v>Home Essentials</c:v>
                </c:pt>
                <c:pt idx="8">
                  <c:v>Automotive</c:v>
                </c:pt>
                <c:pt idx="9">
                  <c:v>Garden Tools</c:v>
                </c:pt>
              </c:strCache>
            </c:strRef>
          </c:cat>
          <c:val>
            <c:numRef>
              <c:f>'Top 10 product categories by re'!$B$2:$B$11</c:f>
              <c:numCache>
                <c:formatCode>_-[$R$-416]\ * #\ ##0.00_-;\-[$R$-416]\ * #\ ##0.00_-;_-[$R$-416]\ * "-"??_-;_-@_-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4-4677-8232-3AD55372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04240"/>
        <c:axId val="403905200"/>
      </c:barChart>
      <c:catAx>
        <c:axId val="40390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3905200"/>
        <c:crosses val="autoZero"/>
        <c:auto val="1"/>
        <c:lblAlgn val="ctr"/>
        <c:lblOffset val="100"/>
        <c:noMultiLvlLbl val="0"/>
      </c:catAx>
      <c:valAx>
        <c:axId val="403905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390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product categories by re'!$A$2:$A$11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Home &amp; Living</c:v>
                </c:pt>
                <c:pt idx="3">
                  <c:v>Sports &amp; Leisure</c:v>
                </c:pt>
                <c:pt idx="4">
                  <c:v>IT Accessories</c:v>
                </c:pt>
                <c:pt idx="5">
                  <c:v>Furniture &amp; Decor</c:v>
                </c:pt>
                <c:pt idx="6">
                  <c:v>Lifestyle Products</c:v>
                </c:pt>
                <c:pt idx="7">
                  <c:v>Home Essentials</c:v>
                </c:pt>
                <c:pt idx="8">
                  <c:v>Automotive</c:v>
                </c:pt>
                <c:pt idx="9">
                  <c:v>Garden Tools</c:v>
                </c:pt>
              </c:strCache>
            </c:strRef>
          </c:cat>
          <c:val>
            <c:numRef>
              <c:f>'Top 10 product categories by re'!$B$2:$B$11</c:f>
              <c:numCache>
                <c:formatCode>_-[$R$-416]\ * #\ ##0.00_-;\-[$R$-416]\ * #\ ##0.00_-;_-[$R$-416]\ * "-"??_-;_-@_-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D-41D3-8E17-13B84537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04240"/>
        <c:axId val="403905200"/>
      </c:barChart>
      <c:catAx>
        <c:axId val="40390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3905200"/>
        <c:crosses val="autoZero"/>
        <c:auto val="1"/>
        <c:lblAlgn val="ctr"/>
        <c:lblOffset val="100"/>
        <c:noMultiLvlLbl val="0"/>
      </c:catAx>
      <c:valAx>
        <c:axId val="403905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390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'KPI 1 Monthly revenue'!$A$2:$A$26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'KPI 1 Monthly revenue'!$B$2:$B$26</c:f>
              <c:numCache>
                <c:formatCode>_-[$R$-416]\ * #\ ##0.00_-;\-[$R$-416]\ * #\ ##0.00_-;_-[$R$-416]\ * "-"??_-;_-@_-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6-4DA7-82FE-EAF68BEE3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21520672"/>
        <c:axId val="1921521152"/>
      </c:lineChart>
      <c:dateAx>
        <c:axId val="1921520672"/>
        <c:scaling>
          <c:orientation val="minMax"/>
        </c:scaling>
        <c:delete val="0"/>
        <c:axPos val="b"/>
        <c:numFmt formatCode="[$-409]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1521152"/>
        <c:crosses val="autoZero"/>
        <c:auto val="1"/>
        <c:lblOffset val="100"/>
        <c:baseTimeUnit val="months"/>
      </c:dateAx>
      <c:valAx>
        <c:axId val="1921521152"/>
        <c:scaling>
          <c:orientation val="minMax"/>
        </c:scaling>
        <c:delete val="0"/>
        <c:axPos val="l"/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15206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Order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purchase frequency dis'!$A$2:$A$4</c:f>
              <c:strCache>
                <c:ptCount val="3"/>
                <c:pt idx="0">
                  <c:v>1 order</c:v>
                </c:pt>
                <c:pt idx="1">
                  <c:v>2-3 orders</c:v>
                </c:pt>
                <c:pt idx="2">
                  <c:v>4+ orders</c:v>
                </c:pt>
              </c:strCache>
            </c:strRef>
          </c:cat>
          <c:val>
            <c:numRef>
              <c:f>'Customer purchase frequency dis'!$C$2:$C$4</c:f>
              <c:numCache>
                <c:formatCode>0.00%</c:formatCode>
                <c:ptCount val="3"/>
                <c:pt idx="0">
                  <c:v>0.96879999999999999</c:v>
                </c:pt>
                <c:pt idx="1">
                  <c:v>3.0699999999999998E-2</c:v>
                </c:pt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0-47D5-8FF6-70AB3119E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3111904"/>
        <c:axId val="1543112864"/>
      </c:barChart>
      <c:catAx>
        <c:axId val="154311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112864"/>
        <c:crosses val="autoZero"/>
        <c:auto val="1"/>
        <c:lblAlgn val="ctr"/>
        <c:lblOffset val="100"/>
        <c:noMultiLvlLbl val="0"/>
      </c:catAx>
      <c:valAx>
        <c:axId val="154311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11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Revenue per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36-4FAE-B105-13096A308D4A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36-4FAE-B105-13096A308D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revenue per customer ty'!$A$2:$A$3</c:f>
              <c:strCache>
                <c:ptCount val="2"/>
                <c:pt idx="0">
                  <c:v>Repeat</c:v>
                </c:pt>
                <c:pt idx="1">
                  <c:v>One-time</c:v>
                </c:pt>
              </c:strCache>
            </c:strRef>
          </c:cat>
          <c:val>
            <c:numRef>
              <c:f>'Average revenue per customer ty'!$B$2:$B$3</c:f>
              <c:numCache>
                <c:formatCode>_-[$R$-416]\ * #\ ##0.00_-;\-[$R$-416]\ * #\ ##0.00_-;_-[$R$-416]\ * "-"??_-;_-@_-</c:formatCode>
                <c:ptCount val="2"/>
                <c:pt idx="0">
                  <c:v>314.99</c:v>
                </c:pt>
                <c:pt idx="1">
                  <c:v>161.82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36-4FAE-B105-13096A308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675728"/>
        <c:axId val="1882673328"/>
      </c:barChart>
      <c:catAx>
        <c:axId val="18826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2673328"/>
        <c:crosses val="autoZero"/>
        <c:auto val="1"/>
        <c:lblAlgn val="ctr"/>
        <c:lblOffset val="100"/>
        <c:noMultiLvlLbl val="0"/>
      </c:catAx>
      <c:valAx>
        <c:axId val="188267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26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Concentration 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(Top 10% vs Bottom 90%)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concentration'!$A$2:$A$3</c:f>
              <c:strCache>
                <c:ptCount val="2"/>
                <c:pt idx="0">
                  <c:v>Bottom 90%</c:v>
                </c:pt>
                <c:pt idx="1">
                  <c:v>Top 10%</c:v>
                </c:pt>
              </c:strCache>
            </c:strRef>
          </c:cat>
          <c:val>
            <c:numRef>
              <c:f>'Revenue concentration'!$C$2:$C$3</c:f>
              <c:numCache>
                <c:formatCode>0.00%</c:formatCode>
                <c:ptCount val="2"/>
                <c:pt idx="0">
                  <c:v>0.6149</c:v>
                </c:pt>
                <c:pt idx="1">
                  <c:v>0.3851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B-4D07-86B0-01DEEEF06C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298384"/>
        <c:axId val="412297424"/>
      </c:barChart>
      <c:catAx>
        <c:axId val="41229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2297424"/>
        <c:crosses val="autoZero"/>
        <c:auto val="1"/>
        <c:lblAlgn val="ctr"/>
        <c:lblOffset val="100"/>
        <c:noMultiLvlLbl val="0"/>
      </c:catAx>
      <c:valAx>
        <c:axId val="412297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229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Share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share by customer type'!$A$2:$A$3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'Revenue share by customer type'!$C$2:$C$3</c:f>
              <c:numCache>
                <c:formatCode>0.00%</c:formatCode>
                <c:ptCount val="2"/>
                <c:pt idx="0">
                  <c:v>0.94099999999999995</c:v>
                </c:pt>
                <c:pt idx="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3-41C5-AFF2-56821DD49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938416"/>
        <c:axId val="602936016"/>
      </c:barChart>
      <c:catAx>
        <c:axId val="60293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936016"/>
        <c:crosses val="autoZero"/>
        <c:auto val="1"/>
        <c:lblAlgn val="ctr"/>
        <c:lblOffset val="100"/>
        <c:noMultiLvlLbl val="0"/>
      </c:catAx>
      <c:valAx>
        <c:axId val="602936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93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385761</xdr:colOff>
      <xdr:row>2</xdr:row>
      <xdr:rowOff>109536</xdr:rowOff>
    </xdr:from>
    <xdr:to>
      <xdr:col>11</xdr:col>
      <xdr:colOff>371474</xdr:colOff>
      <xdr:row>22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5DD4C-6478-2F5E-13A2-0A83157BE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328612</xdr:colOff>
      <xdr:row>4</xdr:row>
      <xdr:rowOff>123825</xdr:rowOff>
    </xdr:from>
    <xdr:to>
      <xdr:col>11</xdr:col>
      <xdr:colOff>504825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B9BA9-A86F-58BE-9417-7EAA91C88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461961</xdr:colOff>
      <xdr:row>7</xdr:row>
      <xdr:rowOff>109537</xdr:rowOff>
    </xdr:from>
    <xdr:to>
      <xdr:col>17</xdr:col>
      <xdr:colOff>71961</xdr:colOff>
      <xdr:row>16</xdr:row>
      <xdr:rowOff>137437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46ACC-E2D1-036A-DECA-8005BC4CD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5</xdr:row>
      <xdr:rowOff>33337</xdr:rowOff>
    </xdr:from>
    <xdr:to>
      <xdr:col>12</xdr:col>
      <xdr:colOff>338137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9C153-D05F-CBD7-EA47-AE7F815E1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52386</xdr:colOff>
      <xdr:row>9</xdr:row>
      <xdr:rowOff>33336</xdr:rowOff>
    </xdr:from>
    <xdr:to>
      <xdr:col>18</xdr:col>
      <xdr:colOff>228599</xdr:colOff>
      <xdr:row>26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69259-0249-DDF9-27A6-E7ED964FB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7</xdr:row>
      <xdr:rowOff>157161</xdr:rowOff>
    </xdr:from>
    <xdr:to>
      <xdr:col>15</xdr:col>
      <xdr:colOff>219075</xdr:colOff>
      <xdr:row>25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B40B0-577D-1312-6C58-70F02B135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123826</xdr:colOff>
      <xdr:row>34</xdr:row>
      <xdr:rowOff>0</xdr:rowOff>
    </xdr:from>
    <xdr:to>
      <xdr:col>27</xdr:col>
      <xdr:colOff>1</xdr:colOff>
      <xdr:row>45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0F666C-83E0-DE6B-C174-19598A8FDC36}"/>
            </a:ext>
          </a:extLst>
        </xdr:cNvPr>
        <xdr:cNvSpPr txBox="1"/>
      </xdr:nvSpPr>
      <xdr:spPr>
        <a:xfrm>
          <a:off x="11934826" y="6477000"/>
          <a:ext cx="41433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6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Key Insights </a:t>
          </a:r>
          <a:r>
            <a:rPr lang="pl-PL" sz="1600">
              <a:solidFill>
                <a:schemeClr val="tx2">
                  <a:lumMod val="50000"/>
                </a:schemeClr>
              </a:solidFill>
            </a:rPr>
            <a:t> </a:t>
          </a:r>
          <a:br>
            <a:rPr lang="pl-PL">
              <a:solidFill>
                <a:schemeClr val="tx2">
                  <a:lumMod val="50000"/>
                </a:schemeClr>
              </a:solidFill>
            </a:rPr>
          </a:br>
          <a:br>
            <a:rPr lang="pl-PL">
              <a:solidFill>
                <a:schemeClr val="tx2">
                  <a:lumMod val="50000"/>
                </a:schemeClr>
              </a:solidFill>
            </a:rPr>
          </a:br>
          <a:r>
            <a:rPr lang="pl-PL" sz="1200">
              <a:solidFill>
                <a:schemeClr val="tx2">
                  <a:lumMod val="50000"/>
                </a:schemeClr>
              </a:solidFill>
            </a:rPr>
            <a:t>* </a:t>
          </a:r>
          <a:r>
            <a:rPr lang="pl-PL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96,88% of customers purchase only once</a:t>
          </a:r>
          <a:r>
            <a:rPr lang="pl-PL" sz="1200">
              <a:solidFill>
                <a:schemeClr val="tx2">
                  <a:lumMod val="50000"/>
                </a:schemeClr>
              </a:solidFill>
            </a:rPr>
            <a:t> </a:t>
          </a:r>
          <a:br>
            <a:rPr lang="pl-PL" sz="1200">
              <a:solidFill>
                <a:schemeClr val="tx2">
                  <a:lumMod val="50000"/>
                </a:schemeClr>
              </a:solidFill>
            </a:rPr>
          </a:br>
          <a:br>
            <a:rPr lang="pl-PL" sz="1200">
              <a:solidFill>
                <a:schemeClr val="tx2">
                  <a:lumMod val="50000"/>
                </a:schemeClr>
              </a:solidFill>
            </a:rPr>
          </a:br>
          <a:r>
            <a:rPr lang="pl-PL" sz="1200">
              <a:solidFill>
                <a:schemeClr val="tx2">
                  <a:lumMod val="50000"/>
                </a:schemeClr>
              </a:solidFill>
            </a:rPr>
            <a:t>* </a:t>
          </a:r>
          <a:r>
            <a:rPr lang="pl-PL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One-time customers generate 94% of revenue</a:t>
          </a:r>
          <a:r>
            <a:rPr lang="pl-PL" sz="1200">
              <a:solidFill>
                <a:schemeClr val="tx2">
                  <a:lumMod val="50000"/>
                </a:schemeClr>
              </a:solidFill>
            </a:rPr>
            <a:t> </a:t>
          </a:r>
          <a:br>
            <a:rPr lang="pl-PL" sz="1200">
              <a:solidFill>
                <a:schemeClr val="tx2">
                  <a:lumMod val="50000"/>
                </a:schemeClr>
              </a:solidFill>
            </a:rPr>
          </a:br>
          <a:br>
            <a:rPr lang="pl-PL" sz="1200">
              <a:solidFill>
                <a:schemeClr val="tx2">
                  <a:lumMod val="50000"/>
                </a:schemeClr>
              </a:solidFill>
            </a:rPr>
          </a:br>
          <a:r>
            <a:rPr lang="pl-PL" sz="1200">
              <a:solidFill>
                <a:schemeClr val="tx2">
                  <a:lumMod val="50000"/>
                </a:schemeClr>
              </a:solidFill>
            </a:rPr>
            <a:t>* </a:t>
          </a:r>
          <a:r>
            <a:rPr lang="pl-PL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Business heavily depends on new customer</a:t>
          </a:r>
          <a:r>
            <a:rPr lang="pl-PL" sz="1200" b="0" i="0" u="none" strike="noStrike" baseline="0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acquisition</a:t>
          </a:r>
          <a:r>
            <a:rPr lang="pl-PL" sz="1200">
              <a:solidFill>
                <a:schemeClr val="tx2">
                  <a:lumMod val="50000"/>
                </a:schemeClr>
              </a:solidFill>
            </a:rPr>
            <a:t> </a:t>
          </a:r>
          <a:endParaRPr lang="pl-PL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7</xdr:col>
      <xdr:colOff>0</xdr:colOff>
      <xdr:row>10</xdr:row>
      <xdr:rowOff>1800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52E9400-274D-8A51-DF1B-C574D53F5836}"/>
            </a:ext>
          </a:extLst>
        </xdr:cNvPr>
        <xdr:cNvSpPr txBox="1"/>
      </xdr:nvSpPr>
      <xdr:spPr>
        <a:xfrm>
          <a:off x="2438400" y="762000"/>
          <a:ext cx="1828800" cy="11448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pl-PL" sz="1400">
              <a:solidFill>
                <a:schemeClr val="tx2">
                  <a:lumMod val="50000"/>
                </a:schemeClr>
              </a:solidFill>
            </a:rPr>
            <a:t> </a:t>
          </a:r>
          <a:br>
            <a:rPr lang="pl-PL">
              <a:solidFill>
                <a:schemeClr val="tx2">
                  <a:lumMod val="50000"/>
                </a:schemeClr>
              </a:solidFill>
            </a:rPr>
          </a:br>
          <a:r>
            <a:rPr lang="pl-PL" sz="20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R$ 16 008 872 </a:t>
          </a:r>
          <a:endParaRPr lang="pl-PL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0</xdr:colOff>
      <xdr:row>4</xdr:row>
      <xdr:rowOff>9523</xdr:rowOff>
    </xdr:from>
    <xdr:to>
      <xdr:col>11</xdr:col>
      <xdr:colOff>0</xdr:colOff>
      <xdr:row>10</xdr:row>
      <xdr:rowOff>9524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A25FA02-29DC-AD04-FBB3-82F3109E7807}"/>
            </a:ext>
          </a:extLst>
        </xdr:cNvPr>
        <xdr:cNvSpPr txBox="1"/>
      </xdr:nvSpPr>
      <xdr:spPr>
        <a:xfrm>
          <a:off x="4876800" y="771523"/>
          <a:ext cx="1828800" cy="1143001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solidFill>
                <a:schemeClr val="tx2">
                  <a:lumMod val="50000"/>
                </a:schemeClr>
              </a:solidFill>
            </a:rPr>
            <a:t>Total Orders</a:t>
          </a:r>
          <a:br>
            <a:rPr lang="pl-PL" sz="1100">
              <a:solidFill>
                <a:schemeClr val="tx2">
                  <a:lumMod val="50000"/>
                </a:schemeClr>
              </a:solidFill>
            </a:rPr>
          </a:br>
          <a:r>
            <a:rPr lang="pl-PL" sz="20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99441</a:t>
          </a:r>
          <a:r>
            <a:rPr lang="pl-PL" sz="2000">
              <a:solidFill>
                <a:schemeClr val="tx2">
                  <a:lumMod val="50000"/>
                </a:schemeClr>
              </a:solidFill>
            </a:rPr>
            <a:t> </a:t>
          </a:r>
          <a:endParaRPr lang="pl-PL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0</xdr:colOff>
      <xdr:row>3</xdr:row>
      <xdr:rowOff>190499</xdr:rowOff>
    </xdr:from>
    <xdr:to>
      <xdr:col>19</xdr:col>
      <xdr:colOff>0</xdr:colOff>
      <xdr:row>10</xdr:row>
      <xdr:rowOff>1799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58F9BE-6E53-3A61-FC66-35B3940BD449}"/>
            </a:ext>
          </a:extLst>
        </xdr:cNvPr>
        <xdr:cNvSpPr txBox="1"/>
      </xdr:nvSpPr>
      <xdr:spPr>
        <a:xfrm>
          <a:off x="9753600" y="761999"/>
          <a:ext cx="1828800" cy="11448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solidFill>
                <a:schemeClr val="tx2">
                  <a:lumMod val="50000"/>
                </a:schemeClr>
              </a:solidFill>
            </a:rPr>
            <a:t>AOV</a:t>
          </a:r>
          <a:br>
            <a:rPr lang="pl-PL" sz="1100">
              <a:solidFill>
                <a:schemeClr val="tx2">
                  <a:lumMod val="50000"/>
                </a:schemeClr>
              </a:solidFill>
            </a:rPr>
          </a:br>
          <a:r>
            <a:rPr lang="pl-PL" sz="20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$160,99 </a:t>
          </a:r>
          <a:endParaRPr lang="pl-PL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390525</xdr:colOff>
      <xdr:row>4</xdr:row>
      <xdr:rowOff>0</xdr:rowOff>
    </xdr:from>
    <xdr:to>
      <xdr:col>23</xdr:col>
      <xdr:colOff>390525</xdr:colOff>
      <xdr:row>10</xdr:row>
      <xdr:rowOff>1800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07DB33-1BAE-689F-BBFC-B453C1DD801A}"/>
            </a:ext>
          </a:extLst>
        </xdr:cNvPr>
        <xdr:cNvSpPr txBox="1"/>
      </xdr:nvSpPr>
      <xdr:spPr>
        <a:xfrm>
          <a:off x="12201525" y="762000"/>
          <a:ext cx="1828800" cy="11448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solidFill>
                <a:schemeClr val="tx2">
                  <a:lumMod val="50000"/>
                </a:schemeClr>
              </a:solidFill>
            </a:rPr>
            <a:t>% Repeat Customers</a:t>
          </a:r>
          <a:br>
            <a:rPr lang="pl-PL" sz="1100">
              <a:solidFill>
                <a:schemeClr val="tx2">
                  <a:lumMod val="50000"/>
                </a:schemeClr>
              </a:solidFill>
            </a:rPr>
          </a:br>
          <a:r>
            <a:rPr lang="pl-PL" sz="20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3,12%</a:t>
          </a:r>
          <a:r>
            <a:rPr lang="pl-PL" sz="2000">
              <a:solidFill>
                <a:schemeClr val="tx2">
                  <a:lumMod val="50000"/>
                </a:schemeClr>
              </a:solidFill>
            </a:rPr>
            <a:t> </a:t>
          </a:r>
          <a:endParaRPr lang="pl-PL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600075</xdr:colOff>
      <xdr:row>1</xdr:row>
      <xdr:rowOff>19050</xdr:rowOff>
    </xdr:from>
    <xdr:to>
      <xdr:col>21</xdr:col>
      <xdr:colOff>0</xdr:colOff>
      <xdr:row>3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7C7A83-D6F7-073C-981A-F21FDB4D8F5E}"/>
            </a:ext>
          </a:extLst>
        </xdr:cNvPr>
        <xdr:cNvSpPr txBox="1"/>
      </xdr:nvSpPr>
      <xdr:spPr>
        <a:xfrm>
          <a:off x="4257675" y="209550"/>
          <a:ext cx="8162925" cy="46672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2400"/>
            <a:t>E-commerce Sales &amp; Customer Retention Analysis</a:t>
          </a:r>
        </a:p>
      </xdr:txBody>
    </xdr:sp>
    <xdr:clientData/>
  </xdr:twoCellAnchor>
  <xdr:twoCellAnchor>
    <xdr:from>
      <xdr:col>6</xdr:col>
      <xdr:colOff>600075</xdr:colOff>
      <xdr:row>48</xdr:row>
      <xdr:rowOff>114301</xdr:rowOff>
    </xdr:from>
    <xdr:to>
      <xdr:col>21</xdr:col>
      <xdr:colOff>1875</xdr:colOff>
      <xdr:row>50</xdr:row>
      <xdr:rowOff>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4BD4AC-0552-CBD2-BA18-701186CB44C2}"/>
            </a:ext>
          </a:extLst>
        </xdr:cNvPr>
        <xdr:cNvSpPr txBox="1"/>
      </xdr:nvSpPr>
      <xdr:spPr>
        <a:xfrm>
          <a:off x="4257675" y="9258301"/>
          <a:ext cx="8164800" cy="2667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 by Łukasz Trzeciak | Data:  Brazilian E-Commerce Public Dataset by Olist</a:t>
          </a:r>
          <a:r>
            <a:rPr lang="pl-PL"/>
            <a:t> </a:t>
          </a:r>
          <a:endParaRPr lang="pl-PL" sz="1100"/>
        </a:p>
      </xdr:txBody>
    </xdr:sp>
    <xdr:clientData/>
  </xdr:twoCellAnchor>
  <xdr:twoCellAnchor>
    <xdr:from>
      <xdr:col>11</xdr:col>
      <xdr:colOff>600075</xdr:colOff>
      <xdr:row>4</xdr:row>
      <xdr:rowOff>9525</xdr:rowOff>
    </xdr:from>
    <xdr:to>
      <xdr:col>14</xdr:col>
      <xdr:colOff>600075</xdr:colOff>
      <xdr:row>10</xdr:row>
      <xdr:rowOff>11325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0A4DD8D-E80D-C7CF-0962-CCD3BCCB8016}"/>
            </a:ext>
          </a:extLst>
        </xdr:cNvPr>
        <xdr:cNvSpPr txBox="1"/>
      </xdr:nvSpPr>
      <xdr:spPr>
        <a:xfrm>
          <a:off x="7305675" y="771525"/>
          <a:ext cx="1828800" cy="11448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400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Customers</a:t>
          </a:r>
          <a:br>
            <a:rPr lang="pl-PL" sz="1100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pl-PL" sz="20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96096</a:t>
          </a:r>
          <a:r>
            <a:rPr lang="pl-PL" sz="2000">
              <a:solidFill>
                <a:schemeClr val="tx2">
                  <a:lumMod val="50000"/>
                </a:schemeClr>
              </a:solidFill>
            </a:rPr>
            <a:t> </a:t>
          </a:r>
        </a:p>
      </xdr:txBody>
    </xdr:sp>
    <xdr:clientData/>
  </xdr:twoCellAnchor>
  <xdr:twoCellAnchor>
    <xdr:from>
      <xdr:col>1</xdr:col>
      <xdr:colOff>9525</xdr:colOff>
      <xdr:row>27</xdr:row>
      <xdr:rowOff>9525</xdr:rowOff>
    </xdr:from>
    <xdr:to>
      <xdr:col>13</xdr:col>
      <xdr:colOff>20325</xdr:colOff>
      <xdr:row>45</xdr:row>
      <xdr:rowOff>525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EF7DD47-A054-4DF7-8FD0-73AFDCF25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11</xdr:row>
      <xdr:rowOff>0</xdr:rowOff>
    </xdr:from>
    <xdr:to>
      <xdr:col>13</xdr:col>
      <xdr:colOff>10799</xdr:colOff>
      <xdr:row>26</xdr:row>
      <xdr:rowOff>22500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6DA446D-753E-4A91-96CD-289B1BA13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11</xdr:row>
      <xdr:rowOff>0</xdr:rowOff>
    </xdr:from>
    <xdr:to>
      <xdr:col>26</xdr:col>
      <xdr:colOff>600600</xdr:colOff>
      <xdr:row>20</xdr:row>
      <xdr:rowOff>27900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58A79EC-9A6C-462B-AA1F-061683723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219075</xdr:colOff>
      <xdr:row>21</xdr:row>
      <xdr:rowOff>0</xdr:rowOff>
    </xdr:from>
    <xdr:to>
      <xdr:col>27</xdr:col>
      <xdr:colOff>1875</xdr:colOff>
      <xdr:row>33</xdr:row>
      <xdr:rowOff>10800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B3A86EB-B2C1-410E-BEF8-99ED5DC7E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19</xdr:col>
      <xdr:colOff>123600</xdr:colOff>
      <xdr:row>45</xdr:row>
      <xdr:rowOff>10500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EDA805B-1FD8-4794-A05A-C8606DA9F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19</xdr:col>
      <xdr:colOff>228000</xdr:colOff>
      <xdr:row>32</xdr:row>
      <xdr:rowOff>179700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0604D7E-1F84-45D3-B7B1-01C781A5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9" xr16:uid="{860254CA-B405-4FB5-B1CC-95BF408580E0}" autoFormatId="16" applyNumberFormats="0" applyBorderFormats="0" applyFontFormats="0" applyPatternFormats="0" applyAlignmentFormats="0" applyWidthHeightFormats="0">
  <queryTableRefresh nextId="4">
    <queryTableFields count="3">
      <queryTableField id="1" name="customer_type" tableColumnId="1"/>
      <queryTableField id="2" name="total_revenue" tableColumnId="2"/>
      <queryTableField id="3" name="revenue_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7" xr16:uid="{E495992B-FCE3-4712-B9DF-C3D686968B02}" autoFormatId="16" applyNumberFormats="0" applyBorderFormats="0" applyFontFormats="0" applyPatternFormats="0" applyAlignmentFormats="0" applyWidthHeightFormats="0">
  <queryTableRefresh nextId="4">
    <queryTableFields count="3">
      <queryTableField id="1" name="customer_group" tableColumnId="1"/>
      <queryTableField id="2" name="total_revenue" tableColumnId="2"/>
      <queryTableField id="3" name="revenue_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41CB89AA-AB17-4BE9-911A-E25DD7FB6912}" autoFormatId="16" applyNumberFormats="0" applyBorderFormats="0" applyFontFormats="0" applyPatternFormats="0" applyAlignmentFormats="0" applyWidthHeightFormats="0">
  <queryTableRefresh nextId="4">
    <queryTableFields count="3">
      <queryTableField id="1" name="customer_type" tableColumnId="1"/>
      <queryTableField id="2" name="total_customers" tableColumnId="2"/>
      <queryTableField id="3" name="customer_percentag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C6A2138A-414E-4823-8B4B-9671AAE3ECFD}" autoFormatId="16" applyNumberFormats="0" applyBorderFormats="0" applyFontFormats="0" applyPatternFormats="0" applyAlignmentFormats="0" applyWidthHeightFormats="0">
  <queryTableRefresh nextId="3">
    <queryTableFields count="2">
      <queryTableField id="1" name="first_order_date" tableColumnId="1"/>
      <queryTableField id="2" name="last_order_dat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FEAC6427-9664-43A6-B46C-D8318CF49B6A}" autoFormatId="16" applyNumberFormats="0" applyBorderFormats="0" applyFontFormats="0" applyPatternFormats="0" applyAlignmentFormats="0" applyWidthHeightFormats="0">
  <queryTableRefresh nextId="4">
    <queryTableFields count="3">
      <queryTableField id="1" name="customer_segment" tableColumnId="1"/>
      <queryTableField id="2" name="total_customers" tableColumnId="2"/>
      <queryTableField id="3" name="percentag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6CEE1675-CCA9-4D99-A88A-BCBFB03DDDF3}" autoFormatId="16" applyNumberFormats="0" applyBorderFormats="0" applyFontFormats="0" applyPatternFormats="0" applyAlignmentFormats="0" applyWidthHeightFormats="0">
  <queryTableRefresh nextId="3">
    <queryTableFields count="2">
      <queryTableField id="1" name="customer_type" tableColumnId="1"/>
      <queryTableField id="2" name="avg_revenue_per_customer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66AE17D8-B5B5-451C-8121-89758DAC50A0}" autoFormatId="16" applyNumberFormats="0" applyBorderFormats="0" applyFontFormats="0" applyPatternFormats="0" applyAlignmentFormats="0" applyWidthHeightFormats="0">
  <queryTableRefresh nextId="2">
    <queryTableFields count="1">
      <queryTableField id="1" name="avg_order_value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533C6BBB-1F9E-44DE-A8DA-1D31A8595ED4}" autoFormatId="16" applyNumberFormats="0" applyBorderFormats="0" applyFontFormats="0" applyPatternFormats="0" applyAlignmentFormats="0" applyWidthHeightFormats="0">
  <queryTableRefresh nextId="3">
    <queryTableFields count="2">
      <queryTableField id="1" name="order_month" tableColumnId="1"/>
      <queryTableField id="2" name="reven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D8EA7C8D-60F9-4317-888D-5925DE8589D8}" autoFormatId="16" applyNumberFormats="0" applyBorderFormats="0" applyFontFormats="0" applyPatternFormats="0" applyAlignmentFormats="0" applyWidthHeightFormats="0">
  <queryTableRefresh nextId="2">
    <queryTableFields count="1">
      <queryTableField id="1" name="total_customers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70FC31B6-5BFE-49F9-ADD0-BBD84B1651BE}" autoFormatId="16" applyNumberFormats="0" applyBorderFormats="0" applyFontFormats="0" applyPatternFormats="0" applyAlignmentFormats="0" applyWidthHeightFormats="0">
  <queryTableRefresh nextId="2">
    <queryTableFields count="1">
      <queryTableField id="1" name="total_orders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9C879067-43FF-42D6-A974-DC70783B3C33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1DB8721B-F3CF-4F63-972F-EABACBD9AA4B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total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1CC112-9AB4-432D-BF60-5C7B933D2120}" name="Revenue_share_by_customer_type" displayName="Revenue_share_by_customer_type" ref="A1:C3" tableType="queryTable" totalsRowShown="0">
  <autoFilter ref="A1:C3" xr:uid="{D01CC112-9AB4-432D-BF60-5C7B933D2120}"/>
  <tableColumns count="3">
    <tableColumn id="1" xr3:uid="{4CEFE2F8-D56B-485B-855D-4E417D517C8B}" uniqueName="1" name="customer_type" queryTableFieldId="1" dataDxfId="23"/>
    <tableColumn id="2" xr3:uid="{E5B79ADC-0D43-4A2E-90FE-3500136F71CF}" uniqueName="2" name="total_revenue" queryTableFieldId="2"/>
    <tableColumn id="3" xr3:uid="{58F6D9F8-562D-49D7-A7F2-84E058181AC1}" uniqueName="3" name="revenue_percentage" queryTableFieldId="3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BFA9802-260A-496C-9AA3-28B719A217DE}" name="Revenue_concentration" displayName="Revenue_concentration" ref="A1:C3" tableType="queryTable" totalsRowShown="0">
  <autoFilter ref="A1:C3" xr:uid="{ABFA9802-260A-496C-9AA3-28B719A217DE}"/>
  <tableColumns count="3">
    <tableColumn id="1" xr3:uid="{07133C13-9CBB-4290-A36D-9926E7AD2B28}" uniqueName="1" name="customer_group" queryTableFieldId="1" dataDxfId="21"/>
    <tableColumn id="2" xr3:uid="{DEDB0456-924E-4676-98B3-38398F768D53}" uniqueName="2" name="total_revenue" queryTableFieldId="2"/>
    <tableColumn id="3" xr3:uid="{3670F094-F72B-4F0E-8BA9-C7723BA11EB1}" uniqueName="3" name="revenue_percentage" queryTableFieldId="3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9EA1924-8242-4AAA-8BC7-C96848243062}" name="Repeat_customers_rate__share_of_customers_who_made_2__orders" displayName="Repeat_customers_rate__share_of_customers_who_made_2__orders" ref="A1:C3" tableType="queryTable" totalsRowShown="0">
  <autoFilter ref="A1:C3" xr:uid="{29EA1924-8242-4AAA-8BC7-C96848243062}"/>
  <tableColumns count="3">
    <tableColumn id="1" xr3:uid="{CC3976F1-ABEB-4CF6-ABED-9DA1E6383EFF}" uniqueName="1" name="customer_type" queryTableFieldId="1" dataDxfId="19"/>
    <tableColumn id="2" xr3:uid="{55A58576-B608-4EA5-B41C-8E3A4A37833A}" uniqueName="2" name="total_customers" queryTableFieldId="2"/>
    <tableColumn id="3" xr3:uid="{5D469413-A01A-4FF8-909F-F27EEBC3305D}" uniqueName="3" name="customer_percentage" queryTableFieldId="3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BEBBDED-3685-4F68-A2BE-074DEAEBEB6B}" name="Date_range" displayName="Date_range" ref="A1:B2" tableType="queryTable" totalsRowShown="0">
  <autoFilter ref="A1:B2" xr:uid="{CBEBBDED-3685-4F68-A2BE-074DEAEBEB6B}"/>
  <tableColumns count="2">
    <tableColumn id="1" xr3:uid="{209050CC-878A-4F2E-89A5-FD59EAA0A647}" uniqueName="1" name="first_order_date" queryTableFieldId="1" dataDxfId="17"/>
    <tableColumn id="2" xr3:uid="{3D759268-AB63-4969-8564-5E6AA720E78D}" uniqueName="2" name="last_order_date" queryTableFieldId="2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04A10D9-91A5-4660-9537-BEF94C01C50D}" name="Customer_purchase_frequency_distribution" displayName="Customer_purchase_frequency_distribution" ref="A1:C4" tableType="queryTable" totalsRowShown="0">
  <autoFilter ref="A1:C4" xr:uid="{204A10D9-91A5-4660-9537-BEF94C01C50D}"/>
  <tableColumns count="3">
    <tableColumn id="1" xr3:uid="{97D2B4C6-43D1-4E26-945A-01543FB6BC20}" uniqueName="1" name="customer_segment" queryTableFieldId="1" dataDxfId="15"/>
    <tableColumn id="2" xr3:uid="{1172CE0A-B8D3-4F0C-AE39-04EC7C49B908}" uniqueName="2" name="total_customers" queryTableFieldId="2"/>
    <tableColumn id="3" xr3:uid="{20BD6650-8E41-468E-B101-D45E39DB5E98}" uniqueName="3" name="percentage" queryTableFieldId="3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AA6D09-07F4-4CCC-8A6D-A8B78AFA5B89}" name="Average_revenue_per_customer_type" displayName="Average_revenue_per_customer_type" ref="A1:B3" tableType="queryTable" totalsRowShown="0">
  <autoFilter ref="A1:B3" xr:uid="{29AA6D09-07F4-4CCC-8A6D-A8B78AFA5B89}"/>
  <tableColumns count="2">
    <tableColumn id="1" xr3:uid="{8F782E60-6946-43D3-81EA-E1F87AACEBB6}" uniqueName="1" name="customer_type" queryTableFieldId="1" dataDxfId="13"/>
    <tableColumn id="2" xr3:uid="{0260A636-926E-4690-86EB-FCEE4DA633C5}" uniqueName="2" name="avg_revenue_per_customer" queryTableFieldId="2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B300E7-E31D-4BB0-A390-CE861D2BDC43}" name="KPI_3_Average_Order_Value__AOV" displayName="KPI_3_Average_Order_Value__AOV" ref="A1:A2" tableType="queryTable" totalsRowShown="0" dataDxfId="11">
  <autoFilter ref="A1:A2" xr:uid="{BBB300E7-E31D-4BB0-A390-CE861D2BDC43}"/>
  <tableColumns count="1">
    <tableColumn id="1" xr3:uid="{09C0EA4E-4635-45FB-AE84-E8FA733F9276}" uniqueName="1" name="avg_order_value" queryTableFieldId="1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F170F0-D733-4E70-9DB4-D1FF054D5BED}" name="KPI_1_Monthly_revenue" displayName="KPI_1_Monthly_revenue" ref="A1:B26" tableType="queryTable" totalsRowShown="0">
  <autoFilter ref="A1:B26" xr:uid="{E3F170F0-D733-4E70-9DB4-D1FF054D5BED}"/>
  <tableColumns count="2">
    <tableColumn id="1" xr3:uid="{7409DC30-309A-4386-ADCB-857165C3CD8F}" uniqueName="1" name="order_month" queryTableFieldId="1" dataDxfId="9"/>
    <tableColumn id="2" xr3:uid="{D16EDC02-F485-4D6E-8E4E-B8E7BD03D1A9}" uniqueName="2" name="revenue" queryTableFieldId="2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F86C6D-E9CF-4D7C-B1EB-DD8954DA06F8}" name="Total_number_of_unique_customers" displayName="Total_number_of_unique_customers" ref="A1:A2" tableType="queryTable" totalsRowShown="0" dataDxfId="7">
  <autoFilter ref="A1:A2" xr:uid="{48F86C6D-E9CF-4D7C-B1EB-DD8954DA06F8}"/>
  <tableColumns count="1">
    <tableColumn id="1" xr3:uid="{D6BE7722-7025-438B-BB9B-28F5DF911612}" uniqueName="1" name="total_customers" queryTableFieldId="1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34F20C-2352-439A-AB5A-EA76C1B97F8A}" name="Total_number_of_unique_orders" displayName="Total_number_of_unique_orders" ref="A1:A2" tableType="queryTable" totalsRowShown="0" dataDxfId="5">
  <autoFilter ref="A1:A2" xr:uid="{7034F20C-2352-439A-AB5A-EA76C1B97F8A}"/>
  <tableColumns count="1">
    <tableColumn id="1" xr3:uid="{CD3D2E74-5E7E-47A7-AEBF-9C9894BFA74B}" uniqueName="1" name="total_orders" queryTableFieldId="1" dataDxf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F707C4-E234-4A52-9C02-6B44E620FD76}" name="Total_revenue" displayName="Total_revenue" ref="A1:A2" tableType="queryTable" totalsRowShown="0" dataDxfId="3">
  <autoFilter ref="A1:A2" xr:uid="{44F707C4-E234-4A52-9C02-6B44E620FD76}"/>
  <tableColumns count="1">
    <tableColumn id="1" xr3:uid="{2AA451F3-4A70-4E1A-B95C-9CA4058DE6C2}" uniqueName="1" name="total_revenue" queryTableFieldId="1" dataDxf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ABFA4B5-90B2-42AC-90DA-166919DD3C64}" name="Top_10_product_categories_by_revenue__translated_to_EN_2" displayName="Top_10_product_categories_by_revenue__translated_to_EN_2" ref="A1:B11" tableType="queryTable" totalsRowShown="0">
  <autoFilter ref="A1:B11" xr:uid="{7ABFA4B5-90B2-42AC-90DA-166919DD3C64}"/>
  <tableColumns count="2">
    <tableColumn id="1" xr3:uid="{5E9C4F44-6C54-448F-9877-22034D45A7F9}" uniqueName="1" name="product_category" queryTableFieldId="1" dataDxfId="1"/>
    <tableColumn id="2" xr3:uid="{4AFB1747-182C-40C4-AF74-7DDD83E7AC40}" uniqueName="2" name="total_revenu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5EA-1122-4C43-BE24-C4F07211FE1E}">
  <dimension ref="A1:C3"/>
  <sheetViews>
    <sheetView workbookViewId="0">
      <selection activeCell="I40" sqref="I40"/>
    </sheetView>
  </sheetViews>
  <sheetFormatPr defaultRowHeight="15" x14ac:dyDescent="0.25"/>
  <cols>
    <col min="1" max="1" width="16.7109375" bestFit="1" customWidth="1"/>
    <col min="2" max="2" width="16" bestFit="1" customWidth="1"/>
    <col min="3" max="3" width="22" bestFit="1" customWidth="1"/>
  </cols>
  <sheetData>
    <row r="1" spans="1:3" x14ac:dyDescent="0.25">
      <c r="A1" t="s">
        <v>20</v>
      </c>
      <c r="B1" t="s">
        <v>9</v>
      </c>
      <c r="C1" t="s">
        <v>25</v>
      </c>
    </row>
    <row r="2" spans="1:3" x14ac:dyDescent="0.25">
      <c r="A2" s="2" t="s">
        <v>22</v>
      </c>
      <c r="B2">
        <v>15064849.41</v>
      </c>
      <c r="C2" s="3">
        <v>0.94099999999999995</v>
      </c>
    </row>
    <row r="3" spans="1:3" x14ac:dyDescent="0.25">
      <c r="A3" s="2" t="s">
        <v>23</v>
      </c>
      <c r="B3">
        <v>944022.71</v>
      </c>
      <c r="C3" s="3">
        <v>5.8999999999999997E-2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0C39-3B2D-4199-B9ED-F9A39F81695B}">
  <dimension ref="A1:C3"/>
  <sheetViews>
    <sheetView workbookViewId="0">
      <selection activeCell="P19" sqref="P19"/>
    </sheetView>
  </sheetViews>
  <sheetFormatPr defaultRowHeight="15" x14ac:dyDescent="0.25"/>
  <cols>
    <col min="1" max="1" width="17.85546875" bestFit="1" customWidth="1"/>
    <col min="2" max="2" width="16" bestFit="1" customWidth="1"/>
    <col min="3" max="3" width="22" bestFit="1" customWidth="1"/>
  </cols>
  <sheetData>
    <row r="1" spans="1:3" x14ac:dyDescent="0.25">
      <c r="A1" t="s">
        <v>26</v>
      </c>
      <c r="B1" t="s">
        <v>9</v>
      </c>
      <c r="C1" t="s">
        <v>25</v>
      </c>
    </row>
    <row r="2" spans="1:3" x14ac:dyDescent="0.25">
      <c r="A2" s="2" t="s">
        <v>28</v>
      </c>
      <c r="B2">
        <v>9843287.7599999998</v>
      </c>
      <c r="C2" s="3">
        <v>0.6149</v>
      </c>
    </row>
    <row r="3" spans="1:3" x14ac:dyDescent="0.25">
      <c r="A3" s="2" t="s">
        <v>27</v>
      </c>
      <c r="B3">
        <v>6165584.3600000003</v>
      </c>
      <c r="C3" s="3">
        <v>0.3851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2CF0-FD8A-48DD-8A8F-7928CC75D32B}">
  <dimension ref="A1:C3"/>
  <sheetViews>
    <sheetView workbookViewId="0">
      <selection activeCell="E42" sqref="E42"/>
    </sheetView>
  </sheetViews>
  <sheetFormatPr defaultRowHeight="15" x14ac:dyDescent="0.25"/>
  <cols>
    <col min="1" max="1" width="16.7109375" bestFit="1" customWidth="1"/>
    <col min="2" max="2" width="17.7109375" bestFit="1" customWidth="1"/>
    <col min="3" max="3" width="22.85546875" bestFit="1" customWidth="1"/>
  </cols>
  <sheetData>
    <row r="1" spans="1:3" x14ac:dyDescent="0.25">
      <c r="A1" t="s">
        <v>20</v>
      </c>
      <c r="B1" t="s">
        <v>4</v>
      </c>
      <c r="C1" t="s">
        <v>31</v>
      </c>
    </row>
    <row r="2" spans="1:3" x14ac:dyDescent="0.25">
      <c r="A2" s="2" t="s">
        <v>22</v>
      </c>
      <c r="B2">
        <v>93099</v>
      </c>
      <c r="C2" s="3">
        <v>0.96879999999999999</v>
      </c>
    </row>
    <row r="3" spans="1:3" x14ac:dyDescent="0.25">
      <c r="A3" s="2" t="s">
        <v>23</v>
      </c>
      <c r="B3">
        <v>2997</v>
      </c>
      <c r="C3" s="3">
        <v>3.1199999999999999E-2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2E8-03C0-4D4B-B82E-C018D0CD55B9}">
  <dimension ref="A1:B2"/>
  <sheetViews>
    <sheetView workbookViewId="0">
      <selection activeCell="L52" sqref="L52"/>
    </sheetView>
  </sheetViews>
  <sheetFormatPr defaultRowHeight="15" x14ac:dyDescent="0.25"/>
  <cols>
    <col min="1" max="1" width="17.85546875" bestFit="1" customWidth="1"/>
    <col min="2" max="2" width="17.425781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s="1">
        <v>42617.885636574072</v>
      </c>
      <c r="B2" s="1">
        <v>43390.729375000003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CD66-9AE5-40FB-9624-5489B0AD3A17}">
  <dimension ref="A1:C4"/>
  <sheetViews>
    <sheetView workbookViewId="0">
      <selection activeCell="R22" sqref="R22"/>
    </sheetView>
  </sheetViews>
  <sheetFormatPr defaultRowHeight="15" x14ac:dyDescent="0.25"/>
  <cols>
    <col min="1" max="1" width="20.5703125" bestFit="1" customWidth="1"/>
    <col min="2" max="2" width="17.7109375" bestFit="1" customWidth="1"/>
    <col min="3" max="3" width="13.285156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2" t="s">
        <v>6</v>
      </c>
      <c r="B2">
        <v>93099</v>
      </c>
      <c r="C2" s="3">
        <v>0.96879999999999999</v>
      </c>
    </row>
    <row r="3" spans="1:3" x14ac:dyDescent="0.25">
      <c r="A3" s="2" t="s">
        <v>7</v>
      </c>
      <c r="B3">
        <v>2948</v>
      </c>
      <c r="C3" s="3">
        <v>3.0699999999999998E-2</v>
      </c>
    </row>
    <row r="4" spans="1:3" x14ac:dyDescent="0.25">
      <c r="A4" s="2" t="s">
        <v>8</v>
      </c>
      <c r="B4">
        <v>49</v>
      </c>
      <c r="C4" s="3">
        <v>5.0000000000000001E-4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5694-4C95-44EE-8878-B807DD075AF1}">
  <dimension ref="A1:B3"/>
  <sheetViews>
    <sheetView workbookViewId="0">
      <selection activeCell="N32" sqref="N32"/>
    </sheetView>
  </sheetViews>
  <sheetFormatPr defaultRowHeight="15" x14ac:dyDescent="0.25"/>
  <cols>
    <col min="1" max="1" width="16.7109375" bestFit="1" customWidth="1"/>
    <col min="2" max="2" width="28.57031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s="2" t="s">
        <v>23</v>
      </c>
      <c r="B2" s="6">
        <v>314.99</v>
      </c>
    </row>
    <row r="3" spans="1:2" x14ac:dyDescent="0.25">
      <c r="A3" s="2" t="s">
        <v>22</v>
      </c>
      <c r="B3" s="6">
        <v>161.82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05AB-8A33-405C-8A5D-742F39E7F857}">
  <dimension ref="A1:A2"/>
  <sheetViews>
    <sheetView workbookViewId="0">
      <selection activeCell="A2" sqref="A2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24</v>
      </c>
    </row>
    <row r="2" spans="1:1" x14ac:dyDescent="0.25">
      <c r="A2" s="6">
        <v>160.99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3739-876D-4E8D-8613-AB1EB1BB16F7}">
  <dimension ref="A1:B26"/>
  <sheetViews>
    <sheetView workbookViewId="0">
      <selection activeCell="U26" sqref="U26"/>
    </sheetView>
  </sheetViews>
  <sheetFormatPr defaultRowHeight="15" x14ac:dyDescent="0.25"/>
  <cols>
    <col min="1" max="1" width="15" bestFit="1" customWidth="1"/>
    <col min="2" max="2" width="1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42614</v>
      </c>
      <c r="B2" s="6">
        <v>252.24</v>
      </c>
    </row>
    <row r="3" spans="1:2" x14ac:dyDescent="0.25">
      <c r="A3" s="1">
        <v>42644</v>
      </c>
      <c r="B3" s="6">
        <v>59090.48</v>
      </c>
    </row>
    <row r="4" spans="1:2" x14ac:dyDescent="0.25">
      <c r="A4" s="1">
        <v>42705</v>
      </c>
      <c r="B4" s="6">
        <v>19.62</v>
      </c>
    </row>
    <row r="5" spans="1:2" x14ac:dyDescent="0.25">
      <c r="A5" s="1">
        <v>42736</v>
      </c>
      <c r="B5" s="6">
        <v>138488.04</v>
      </c>
    </row>
    <row r="6" spans="1:2" x14ac:dyDescent="0.25">
      <c r="A6" s="1">
        <v>42767</v>
      </c>
      <c r="B6" s="6">
        <v>291908.01</v>
      </c>
    </row>
    <row r="7" spans="1:2" x14ac:dyDescent="0.25">
      <c r="A7" s="1">
        <v>42795</v>
      </c>
      <c r="B7" s="6">
        <v>449863.6</v>
      </c>
    </row>
    <row r="8" spans="1:2" x14ac:dyDescent="0.25">
      <c r="A8" s="1">
        <v>42826</v>
      </c>
      <c r="B8" s="6">
        <v>417788.03</v>
      </c>
    </row>
    <row r="9" spans="1:2" x14ac:dyDescent="0.25">
      <c r="A9" s="1">
        <v>42856</v>
      </c>
      <c r="B9" s="6">
        <v>592918.81999999995</v>
      </c>
    </row>
    <row r="10" spans="1:2" x14ac:dyDescent="0.25">
      <c r="A10" s="1">
        <v>42887</v>
      </c>
      <c r="B10" s="6">
        <v>511276.38</v>
      </c>
    </row>
    <row r="11" spans="1:2" x14ac:dyDescent="0.25">
      <c r="A11" s="1">
        <v>42917</v>
      </c>
      <c r="B11" s="6">
        <v>592382.92000000004</v>
      </c>
    </row>
    <row r="12" spans="1:2" x14ac:dyDescent="0.25">
      <c r="A12" s="1">
        <v>42948</v>
      </c>
      <c r="B12" s="6">
        <v>674396.32</v>
      </c>
    </row>
    <row r="13" spans="1:2" x14ac:dyDescent="0.25">
      <c r="A13" s="1">
        <v>42979</v>
      </c>
      <c r="B13" s="6">
        <v>727762.45</v>
      </c>
    </row>
    <row r="14" spans="1:2" x14ac:dyDescent="0.25">
      <c r="A14" s="1">
        <v>43009</v>
      </c>
      <c r="B14" s="6">
        <v>779677.88</v>
      </c>
    </row>
    <row r="15" spans="1:2" x14ac:dyDescent="0.25">
      <c r="A15" s="1">
        <v>43040</v>
      </c>
      <c r="B15" s="6">
        <v>1194882.8</v>
      </c>
    </row>
    <row r="16" spans="1:2" x14ac:dyDescent="0.25">
      <c r="A16" s="1">
        <v>43070</v>
      </c>
      <c r="B16" s="6">
        <v>878401.48</v>
      </c>
    </row>
    <row r="17" spans="1:2" x14ac:dyDescent="0.25">
      <c r="A17" s="1">
        <v>43101</v>
      </c>
      <c r="B17" s="6">
        <v>1115004.18</v>
      </c>
    </row>
    <row r="18" spans="1:2" x14ac:dyDescent="0.25">
      <c r="A18" s="1">
        <v>43132</v>
      </c>
      <c r="B18" s="6">
        <v>992463.34</v>
      </c>
    </row>
    <row r="19" spans="1:2" x14ac:dyDescent="0.25">
      <c r="A19" s="1">
        <v>43160</v>
      </c>
      <c r="B19" s="6">
        <v>1159652.1200000001</v>
      </c>
    </row>
    <row r="20" spans="1:2" x14ac:dyDescent="0.25">
      <c r="A20" s="1">
        <v>43191</v>
      </c>
      <c r="B20" s="6">
        <v>1160785.48</v>
      </c>
    </row>
    <row r="21" spans="1:2" x14ac:dyDescent="0.25">
      <c r="A21" s="1">
        <v>43221</v>
      </c>
      <c r="B21" s="6">
        <v>1153982.1499999999</v>
      </c>
    </row>
    <row r="22" spans="1:2" x14ac:dyDescent="0.25">
      <c r="A22" s="1">
        <v>43252</v>
      </c>
      <c r="B22" s="6">
        <v>1023880.5</v>
      </c>
    </row>
    <row r="23" spans="1:2" x14ac:dyDescent="0.25">
      <c r="A23" s="1">
        <v>43282</v>
      </c>
      <c r="B23" s="6">
        <v>1066540.75</v>
      </c>
    </row>
    <row r="24" spans="1:2" x14ac:dyDescent="0.25">
      <c r="A24" s="1">
        <v>43313</v>
      </c>
      <c r="B24" s="6">
        <v>1022425.32</v>
      </c>
    </row>
    <row r="25" spans="1:2" x14ac:dyDescent="0.25">
      <c r="A25" s="1">
        <v>43344</v>
      </c>
      <c r="B25" s="6">
        <v>4439.54</v>
      </c>
    </row>
    <row r="26" spans="1:2" x14ac:dyDescent="0.25">
      <c r="A26" s="1">
        <v>43374</v>
      </c>
      <c r="B26" s="6">
        <v>589.66999999999996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89A8-FCD2-4273-995D-F80243304A6B}">
  <dimension ref="A1:A2"/>
  <sheetViews>
    <sheetView workbookViewId="0">
      <selection activeCell="A2" sqref="A2"/>
    </sheetView>
  </sheetViews>
  <sheetFormatPr defaultRowHeight="15" x14ac:dyDescent="0.25"/>
  <cols>
    <col min="1" max="1" width="17.7109375" bestFit="1" customWidth="1"/>
  </cols>
  <sheetData>
    <row r="1" spans="1:1" x14ac:dyDescent="0.25">
      <c r="A1" t="s">
        <v>4</v>
      </c>
    </row>
    <row r="2" spans="1:1" x14ac:dyDescent="0.25">
      <c r="A2" s="2">
        <v>96096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517B-4853-4B36-B5CB-062CA6175BFE}">
  <dimension ref="A1:A2"/>
  <sheetViews>
    <sheetView workbookViewId="0">
      <selection activeCell="J15" sqref="J15"/>
    </sheetView>
  </sheetViews>
  <sheetFormatPr defaultRowHeight="15" x14ac:dyDescent="0.25"/>
  <cols>
    <col min="1" max="1" width="14.140625" bestFit="1" customWidth="1"/>
  </cols>
  <sheetData>
    <row r="1" spans="1:1" x14ac:dyDescent="0.25">
      <c r="A1" t="s">
        <v>2</v>
      </c>
    </row>
    <row r="2" spans="1:1" x14ac:dyDescent="0.25">
      <c r="A2" s="2">
        <v>99441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EFE-E2AF-4239-A227-5BDDEEDF96A1}">
  <dimension ref="A1:A2"/>
  <sheetViews>
    <sheetView workbookViewId="0">
      <selection activeCell="C5" sqref="C5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9</v>
      </c>
    </row>
    <row r="2" spans="1:1" x14ac:dyDescent="0.25">
      <c r="A2" s="9">
        <v>16008872.119999999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4BAC-4948-411B-A226-465126A1A198}">
  <dimension ref="A1:B11"/>
  <sheetViews>
    <sheetView workbookViewId="0">
      <selection activeCell="V24" sqref="V24"/>
    </sheetView>
  </sheetViews>
  <sheetFormatPr defaultRowHeight="15" x14ac:dyDescent="0.25"/>
  <cols>
    <col min="1" max="1" width="18.85546875" bestFit="1" customWidth="1"/>
    <col min="2" max="2" width="16" bestFit="1" customWidth="1"/>
  </cols>
  <sheetData>
    <row r="1" spans="1:2" x14ac:dyDescent="0.25">
      <c r="A1" t="s">
        <v>32</v>
      </c>
      <c r="B1" t="s">
        <v>9</v>
      </c>
    </row>
    <row r="2" spans="1:2" x14ac:dyDescent="0.25">
      <c r="A2" s="2" t="s">
        <v>10</v>
      </c>
      <c r="B2" s="6">
        <v>1258681.3400000001</v>
      </c>
    </row>
    <row r="3" spans="1:2" x14ac:dyDescent="0.25">
      <c r="A3" s="2" t="s">
        <v>11</v>
      </c>
      <c r="B3" s="6">
        <v>1205005.68</v>
      </c>
    </row>
    <row r="4" spans="1:2" x14ac:dyDescent="0.25">
      <c r="A4" s="2" t="s">
        <v>12</v>
      </c>
      <c r="B4" s="6">
        <v>1036988.68</v>
      </c>
    </row>
    <row r="5" spans="1:2" x14ac:dyDescent="0.25">
      <c r="A5" s="2" t="s">
        <v>13</v>
      </c>
      <c r="B5" s="6">
        <v>988048.97</v>
      </c>
    </row>
    <row r="6" spans="1:2" x14ac:dyDescent="0.25">
      <c r="A6" s="2" t="s">
        <v>14</v>
      </c>
      <c r="B6" s="6">
        <v>911954.32</v>
      </c>
    </row>
    <row r="7" spans="1:2" x14ac:dyDescent="0.25">
      <c r="A7" s="2" t="s">
        <v>15</v>
      </c>
      <c r="B7" s="6">
        <v>729762.49</v>
      </c>
    </row>
    <row r="8" spans="1:2" x14ac:dyDescent="0.25">
      <c r="A8" s="2" t="s">
        <v>16</v>
      </c>
      <c r="B8" s="6">
        <v>635290.85</v>
      </c>
    </row>
    <row r="9" spans="1:2" x14ac:dyDescent="0.25">
      <c r="A9" s="2" t="s">
        <v>17</v>
      </c>
      <c r="B9" s="6">
        <v>632248.66</v>
      </c>
    </row>
    <row r="10" spans="1:2" x14ac:dyDescent="0.25">
      <c r="A10" s="2" t="s">
        <v>18</v>
      </c>
      <c r="B10" s="6">
        <v>592720.11</v>
      </c>
    </row>
    <row r="11" spans="1:2" x14ac:dyDescent="0.25">
      <c r="A11" s="2" t="s">
        <v>19</v>
      </c>
      <c r="B11" s="6">
        <v>485256.46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E49"/>
  <sheetViews>
    <sheetView showGridLines="0" tabSelected="1" workbookViewId="0">
      <selection activeCell="AG19" sqref="AG19"/>
    </sheetView>
  </sheetViews>
  <sheetFormatPr defaultRowHeight="15" x14ac:dyDescent="0.25"/>
  <cols>
    <col min="3" max="5" width="9.140625" customWidth="1"/>
    <col min="7" max="12" width="9.140625" customWidth="1"/>
    <col min="14" max="14" width="9.140625" customWidth="1"/>
    <col min="20" max="20" width="3.42578125" customWidth="1"/>
    <col min="21" max="21" width="9.140625" customWidth="1"/>
    <col min="23" max="25" width="9.140625" customWidth="1"/>
    <col min="28" max="28" width="9.140625" customWidth="1"/>
    <col min="31" max="31" width="9.140625" customWidth="1"/>
  </cols>
  <sheetData>
    <row r="1" spans="5:26" ht="15" customHeight="1" x14ac:dyDescent="0.25"/>
    <row r="2" spans="5:26" ht="15" customHeight="1" x14ac:dyDescent="0.45"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5:26" ht="15" customHeight="1" x14ac:dyDescent="0.25"/>
    <row r="4" spans="5:26" ht="15" customHeight="1" x14ac:dyDescent="0.25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/>
    </row>
    <row r="5" spans="5:26" ht="15" customHeight="1" x14ac:dyDescent="0.25"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4"/>
    </row>
    <row r="6" spans="5:26" ht="15" customHeight="1" x14ac:dyDescent="0.25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4"/>
    </row>
    <row r="7" spans="5:26" ht="15" customHeight="1" x14ac:dyDescent="0.25"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5:26" ht="15" customHeight="1" x14ac:dyDescent="0.25"/>
    <row r="9" spans="5:26" ht="15" customHeight="1" x14ac:dyDescent="0.25">
      <c r="N9" s="4"/>
      <c r="O9" s="4"/>
    </row>
    <row r="10" spans="5:26" ht="15" customHeight="1" x14ac:dyDescent="0.25">
      <c r="N10" s="4"/>
      <c r="O10" s="4"/>
    </row>
    <row r="11" spans="5:26" ht="15" customHeight="1" x14ac:dyDescent="0.25">
      <c r="N11" s="4"/>
      <c r="O11" s="4"/>
    </row>
    <row r="12" spans="5:26" ht="15" customHeight="1" x14ac:dyDescent="0.25">
      <c r="N12" s="4"/>
      <c r="O12" s="4"/>
    </row>
    <row r="13" spans="5:26" ht="15" customHeight="1" x14ac:dyDescent="0.25">
      <c r="N13" s="4"/>
      <c r="O13" s="4"/>
    </row>
    <row r="14" spans="5:26" ht="15" customHeight="1" x14ac:dyDescent="0.25">
      <c r="N14" s="4"/>
      <c r="O14" s="4"/>
    </row>
    <row r="15" spans="5:26" ht="15" customHeight="1" x14ac:dyDescent="0.25">
      <c r="N15" s="4"/>
      <c r="O15" s="4"/>
    </row>
    <row r="16" spans="5:26" ht="15" customHeight="1" x14ac:dyDescent="0.25">
      <c r="N16" s="4"/>
      <c r="O16" s="4"/>
    </row>
    <row r="17" spans="14:15" ht="15" customHeight="1" x14ac:dyDescent="0.25">
      <c r="N17" s="4"/>
      <c r="O17" s="4"/>
    </row>
    <row r="18" spans="14:15" ht="15" customHeight="1" x14ac:dyDescent="0.25">
      <c r="N18" s="4"/>
      <c r="O18" s="4"/>
    </row>
    <row r="19" spans="14:15" ht="15" customHeight="1" x14ac:dyDescent="0.25">
      <c r="N19" s="4"/>
      <c r="O19" s="4"/>
    </row>
    <row r="20" spans="14:15" ht="15" customHeight="1" x14ac:dyDescent="0.25">
      <c r="N20" s="4"/>
      <c r="O20" s="4"/>
    </row>
    <row r="21" spans="14:15" ht="15" customHeight="1" x14ac:dyDescent="0.25">
      <c r="N21" s="4"/>
      <c r="O21" s="4"/>
    </row>
    <row r="22" spans="14:15" ht="15" customHeight="1" x14ac:dyDescent="0.25">
      <c r="N22" s="4"/>
      <c r="O22" s="4"/>
    </row>
    <row r="23" spans="14:15" ht="15" customHeight="1" x14ac:dyDescent="0.25">
      <c r="N23" s="4"/>
      <c r="O23" s="4"/>
    </row>
    <row r="24" spans="14:15" ht="15" customHeight="1" x14ac:dyDescent="0.25">
      <c r="N24" s="4"/>
      <c r="O24" s="4"/>
    </row>
    <row r="25" spans="14:15" ht="15" customHeight="1" x14ac:dyDescent="0.25">
      <c r="N25" s="4"/>
      <c r="O25" s="4"/>
    </row>
    <row r="26" spans="14:15" ht="15" customHeight="1" x14ac:dyDescent="0.25">
      <c r="N26" s="4"/>
      <c r="O26" s="4"/>
    </row>
    <row r="27" spans="14:15" ht="15" customHeight="1" x14ac:dyDescent="0.25">
      <c r="N27" s="4"/>
      <c r="O27" s="4"/>
    </row>
    <row r="28" spans="14:15" ht="15" customHeight="1" x14ac:dyDescent="0.25">
      <c r="N28" s="4"/>
      <c r="O28" s="4"/>
    </row>
    <row r="29" spans="14:15" ht="15" customHeight="1" x14ac:dyDescent="0.25">
      <c r="N29" s="4"/>
      <c r="O29" s="4"/>
    </row>
    <row r="30" spans="14:15" ht="15" customHeight="1" x14ac:dyDescent="0.25">
      <c r="N30" s="4"/>
      <c r="O30" s="4"/>
    </row>
    <row r="31" spans="14:15" ht="15" customHeight="1" x14ac:dyDescent="0.25">
      <c r="N31" s="4"/>
      <c r="O31" s="4"/>
    </row>
    <row r="32" spans="14:15" ht="15" customHeight="1" x14ac:dyDescent="0.25">
      <c r="N32" s="4"/>
      <c r="O32" s="4"/>
    </row>
    <row r="33" spans="12:31" ht="15" customHeight="1" x14ac:dyDescent="0.25">
      <c r="N33" s="4"/>
      <c r="O33" s="4"/>
    </row>
    <row r="34" spans="12:31" ht="15" customHeight="1" x14ac:dyDescent="0.25">
      <c r="N34" s="4"/>
      <c r="O34" s="4"/>
    </row>
    <row r="35" spans="12:31" ht="15" customHeight="1" x14ac:dyDescent="0.25">
      <c r="N35" s="4"/>
      <c r="O35" s="4"/>
      <c r="U35" s="5"/>
      <c r="V35" s="4"/>
      <c r="W35" s="4"/>
      <c r="X35" s="4"/>
      <c r="Y35" s="4"/>
    </row>
    <row r="36" spans="12:31" ht="15" customHeight="1" x14ac:dyDescent="0.25">
      <c r="N36" s="4"/>
      <c r="O36" s="4"/>
      <c r="U36" s="5"/>
      <c r="V36" s="4"/>
      <c r="W36" s="4"/>
      <c r="X36" s="4"/>
      <c r="Y36" s="4"/>
    </row>
    <row r="37" spans="12:31" ht="15" customHeight="1" x14ac:dyDescent="0.25">
      <c r="N37" s="4"/>
      <c r="O37" s="4"/>
      <c r="U37" s="5"/>
      <c r="V37" s="4"/>
      <c r="W37" s="4"/>
      <c r="X37" s="4"/>
      <c r="Y37" s="4"/>
    </row>
    <row r="38" spans="12:31" ht="15" customHeight="1" x14ac:dyDescent="0.25">
      <c r="N38" s="4"/>
      <c r="O38" s="4"/>
      <c r="U38" s="5"/>
      <c r="V38" s="4"/>
      <c r="W38" s="4"/>
      <c r="X38" s="4"/>
      <c r="Y38" s="4"/>
      <c r="Z38" s="11"/>
      <c r="AA38" s="11"/>
      <c r="AB38" s="11"/>
    </row>
    <row r="39" spans="12:31" ht="15" customHeight="1" x14ac:dyDescent="0.25">
      <c r="N39" s="4"/>
      <c r="O39" s="4"/>
      <c r="U39" s="5"/>
      <c r="V39" s="4"/>
      <c r="W39" s="4"/>
      <c r="X39" s="4"/>
      <c r="Y39" s="4"/>
      <c r="Z39" s="11"/>
      <c r="AA39" s="11"/>
      <c r="AB39" s="11"/>
    </row>
    <row r="40" spans="12:31" ht="15" customHeight="1" x14ac:dyDescent="0.25">
      <c r="N40" s="4"/>
      <c r="O40" s="4"/>
      <c r="U40" s="5"/>
      <c r="V40" s="4"/>
      <c r="W40" s="4"/>
      <c r="X40" s="4"/>
      <c r="Y40" s="4"/>
      <c r="Z40" s="10"/>
      <c r="AA40" s="10"/>
      <c r="AB40" s="10"/>
      <c r="AC40" s="10"/>
      <c r="AD40" s="10"/>
      <c r="AE40" s="10"/>
    </row>
    <row r="41" spans="12:31" ht="15" customHeight="1" x14ac:dyDescent="0.25">
      <c r="N41" s="4"/>
      <c r="O41" s="4"/>
      <c r="U41" s="5"/>
      <c r="V41" s="4"/>
      <c r="W41" s="4"/>
      <c r="X41" s="4"/>
      <c r="Y41" s="4"/>
    </row>
    <row r="42" spans="12:31" ht="15" customHeight="1" x14ac:dyDescent="0.25">
      <c r="N42" s="4"/>
      <c r="O42" s="4"/>
      <c r="U42" s="5"/>
      <c r="V42" s="4"/>
      <c r="W42" s="4"/>
      <c r="X42" s="4"/>
      <c r="Y42" s="4"/>
      <c r="Z42" s="10"/>
      <c r="AA42" s="10"/>
      <c r="AB42" s="10"/>
      <c r="AC42" s="10"/>
      <c r="AD42" s="10"/>
      <c r="AE42" s="10"/>
    </row>
    <row r="43" spans="12:31" ht="15" customHeight="1" x14ac:dyDescent="0.25">
      <c r="N43" s="4"/>
      <c r="O43" s="4"/>
      <c r="U43" s="5"/>
      <c r="V43" s="4"/>
      <c r="W43" s="4"/>
      <c r="X43" s="4"/>
      <c r="Y43" s="4"/>
    </row>
    <row r="44" spans="12:31" ht="15" customHeight="1" x14ac:dyDescent="0.25">
      <c r="N44" s="4"/>
      <c r="O44" s="4"/>
      <c r="U44" s="5"/>
      <c r="V44" s="4"/>
      <c r="W44" s="4"/>
      <c r="X44" s="4"/>
      <c r="Y44" s="4"/>
      <c r="Z44" s="10"/>
      <c r="AA44" s="10"/>
      <c r="AB44" s="10"/>
      <c r="AC44" s="10"/>
      <c r="AD44" s="10"/>
      <c r="AE44" s="10"/>
    </row>
    <row r="45" spans="12:31" ht="15" customHeight="1" x14ac:dyDescent="0.25">
      <c r="N45" s="4"/>
      <c r="O45" s="4"/>
      <c r="U45" s="5"/>
      <c r="V45" s="4"/>
      <c r="W45" s="4"/>
      <c r="X45" s="4"/>
      <c r="Y45" s="4"/>
    </row>
    <row r="46" spans="12:31" ht="15" customHeight="1" x14ac:dyDescent="0.25">
      <c r="N46" s="4"/>
      <c r="O46" s="4"/>
      <c r="X46" s="4"/>
      <c r="Y46" s="4"/>
    </row>
    <row r="47" spans="12:31" ht="15" customHeight="1" x14ac:dyDescent="0.25">
      <c r="N47" s="4"/>
      <c r="O47" s="4"/>
      <c r="X47" s="4"/>
      <c r="Y47" s="4"/>
    </row>
    <row r="48" spans="12:31" ht="15" customHeight="1" x14ac:dyDescent="0.25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" customHeight="1" x14ac:dyDescent="0.25"/>
  </sheetData>
  <mergeCells count="4">
    <mergeCell ref="Z42:AE42"/>
    <mergeCell ref="Z44:AE44"/>
    <mergeCell ref="Z38:AB39"/>
    <mergeCell ref="Z40:AE4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F36EA-A016-4223-9576-ED6ECDDA15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Revenue share by customer type</vt:lpstr>
      <vt:lpstr>Revenue concentration</vt:lpstr>
      <vt:lpstr>Repeat customers rate</vt:lpstr>
      <vt:lpstr>Date range</vt:lpstr>
      <vt:lpstr>Customer purchase frequency dis</vt:lpstr>
      <vt:lpstr>Average revenue per customer ty</vt:lpstr>
      <vt:lpstr>KPI 2 Average Order Value (AOV)</vt:lpstr>
      <vt:lpstr>KPI 1 Monthly revenue</vt:lpstr>
      <vt:lpstr>Total number of unique customer</vt:lpstr>
      <vt:lpstr>Total number of unique orders</vt:lpstr>
      <vt:lpstr>Total revenue</vt:lpstr>
      <vt:lpstr>Top 10 product categories by 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Lukasz Trze</cp:lastModifiedBy>
  <dcterms:created xsi:type="dcterms:W3CDTF">2015-06-05T18:17:20Z</dcterms:created>
  <dcterms:modified xsi:type="dcterms:W3CDTF">2026-03-03T12:22:33Z</dcterms:modified>
</cp:coreProperties>
</file>